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ENEM_Working\Base_prechargement_ENEM\Semaine_reference\"/>
    </mc:Choice>
  </mc:AlternateContent>
  <xr:revisionPtr revIDLastSave="0" documentId="13_ncr:1_{85151842-8DD0-49B8-92A3-8A70D5EADE54}" xr6:coauthVersionLast="47" xr6:coauthVersionMax="47" xr10:uidLastSave="{00000000-0000-0000-0000-000000000000}"/>
  <bookViews>
    <workbookView xWindow="-110" yWindow="-110" windowWidth="25820" windowHeight="15500" activeTab="2" xr2:uid="{C4BC5DD5-3D41-4B00-80FB-2F234088DD44}"/>
  </bookViews>
  <sheets>
    <sheet name="Semaine_ref_trim" sheetId="1" r:id="rId1"/>
    <sheet name="Automate_envoie" sheetId="7" r:id="rId2"/>
    <sheet name="label_district" sheetId="4" r:id="rId3"/>
    <sheet name="label_region" sheetId="3" r:id="rId4"/>
    <sheet name="label_departement" sheetId="5" r:id="rId5"/>
    <sheet name="label_sp" sheetId="6" r:id="rId6"/>
    <sheet name="Feuil1" sheetId="2" r:id="rId7"/>
  </sheets>
  <definedNames>
    <definedName name="_xlnm._FilterDatabase" localSheetId="4" hidden="1">label_departement!$A$1:$B$112</definedName>
    <definedName name="_xlnm._FilterDatabase" localSheetId="5" hidden="1">label_sp!$A$1:$B$520</definedName>
    <definedName name="_xlnm._FilterDatabase" localSheetId="0" hidden="1">Semaine_ref_trim!$A$1:$H$216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7" l="1"/>
  <c r="E162" i="7"/>
  <c r="F162" i="7"/>
  <c r="E163" i="7"/>
  <c r="F163" i="7"/>
  <c r="E164" i="7"/>
  <c r="F164" i="7"/>
  <c r="E165" i="7"/>
  <c r="F165" i="7"/>
  <c r="E166" i="7"/>
  <c r="F166" i="7"/>
  <c r="E167" i="7"/>
  <c r="F167" i="7"/>
  <c r="E168" i="7"/>
  <c r="F168" i="7"/>
  <c r="E169" i="7"/>
  <c r="F169" i="7"/>
  <c r="E170" i="7"/>
  <c r="F170" i="7"/>
  <c r="E171" i="7"/>
  <c r="F171" i="7"/>
  <c r="E172" i="7"/>
  <c r="F172" i="7"/>
  <c r="E173" i="7"/>
  <c r="F173" i="7"/>
  <c r="E174" i="7"/>
  <c r="F174" i="7"/>
  <c r="E175" i="7"/>
  <c r="F175" i="7"/>
  <c r="E176" i="7"/>
  <c r="F176" i="7"/>
  <c r="E177" i="7"/>
  <c r="F177" i="7"/>
  <c r="E178" i="7"/>
  <c r="F178" i="7"/>
  <c r="E179" i="7"/>
  <c r="F179" i="7"/>
  <c r="E180" i="7"/>
  <c r="F180" i="7"/>
  <c r="E181" i="7"/>
  <c r="F181" i="7"/>
  <c r="E182" i="7"/>
  <c r="F182" i="7"/>
  <c r="E183" i="7"/>
  <c r="F183" i="7"/>
  <c r="E184" i="7"/>
  <c r="F184" i="7"/>
  <c r="E185" i="7"/>
  <c r="F185" i="7"/>
  <c r="E186" i="7"/>
  <c r="F186" i="7"/>
  <c r="E187" i="7"/>
  <c r="F187" i="7"/>
  <c r="E188" i="7"/>
  <c r="F188" i="7"/>
  <c r="E189" i="7"/>
  <c r="F189" i="7"/>
  <c r="E190" i="7"/>
  <c r="F190" i="7"/>
  <c r="E191" i="7"/>
  <c r="F191" i="7"/>
  <c r="E192" i="7"/>
  <c r="F192" i="7"/>
  <c r="E193" i="7"/>
  <c r="F193" i="7"/>
  <c r="E194" i="7"/>
  <c r="F194" i="7"/>
  <c r="E195" i="7"/>
  <c r="F195" i="7"/>
  <c r="E196" i="7"/>
  <c r="F196" i="7"/>
  <c r="E197" i="7"/>
  <c r="F197" i="7"/>
  <c r="E198" i="7"/>
  <c r="F198" i="7"/>
  <c r="E199" i="7"/>
  <c r="F199" i="7"/>
  <c r="E200" i="7"/>
  <c r="F200" i="7"/>
  <c r="E201" i="7"/>
  <c r="F201" i="7"/>
  <c r="E202" i="7"/>
  <c r="F202" i="7"/>
  <c r="E203" i="7"/>
  <c r="F203" i="7"/>
  <c r="E204" i="7"/>
  <c r="F204" i="7"/>
  <c r="E205" i="7"/>
  <c r="F205" i="7"/>
  <c r="E206" i="7"/>
  <c r="F206" i="7"/>
  <c r="E207" i="7"/>
  <c r="F207" i="7"/>
  <c r="E208" i="7"/>
  <c r="F208" i="7"/>
  <c r="E209" i="7"/>
  <c r="F209" i="7"/>
  <c r="E210" i="7"/>
  <c r="F210" i="7"/>
  <c r="E211" i="7"/>
  <c r="F211" i="7"/>
  <c r="E212" i="7"/>
  <c r="F212" i="7"/>
  <c r="E213" i="7"/>
  <c r="F213" i="7"/>
  <c r="E214" i="7"/>
  <c r="F214" i="7"/>
  <c r="E215" i="7"/>
  <c r="F215" i="7"/>
  <c r="E216" i="7"/>
  <c r="F216" i="7"/>
  <c r="E217" i="7"/>
  <c r="F217" i="7"/>
  <c r="E218" i="7"/>
  <c r="F218" i="7"/>
  <c r="E219" i="7"/>
  <c r="F219" i="7"/>
  <c r="E220" i="7"/>
  <c r="F220" i="7"/>
  <c r="E221" i="7"/>
  <c r="F221" i="7"/>
  <c r="E222" i="7"/>
  <c r="F222" i="7"/>
  <c r="E223" i="7"/>
  <c r="F223" i="7"/>
  <c r="E224" i="7"/>
  <c r="F224" i="7"/>
  <c r="E225" i="7"/>
  <c r="F225" i="7"/>
  <c r="E226" i="7"/>
  <c r="F226" i="7"/>
  <c r="E227" i="7"/>
  <c r="F227" i="7"/>
  <c r="E228" i="7"/>
  <c r="F228" i="7"/>
  <c r="E229" i="7"/>
  <c r="F229" i="7"/>
  <c r="E230" i="7"/>
  <c r="F230" i="7"/>
  <c r="E231" i="7"/>
  <c r="F231" i="7"/>
  <c r="E232" i="7"/>
  <c r="F232" i="7"/>
  <c r="E233" i="7"/>
  <c r="F233" i="7"/>
  <c r="E234" i="7"/>
  <c r="F234" i="7"/>
  <c r="E235" i="7"/>
  <c r="F235" i="7"/>
  <c r="E236" i="7"/>
  <c r="F236" i="7"/>
  <c r="E237" i="7"/>
  <c r="F237" i="7"/>
  <c r="E238" i="7"/>
  <c r="F238" i="7"/>
  <c r="E239" i="7"/>
  <c r="F239" i="7"/>
  <c r="E240" i="7"/>
  <c r="F240" i="7"/>
  <c r="E241" i="7"/>
  <c r="F241" i="7"/>
  <c r="E242" i="7"/>
  <c r="F242" i="7"/>
  <c r="E243" i="7"/>
  <c r="F243" i="7"/>
  <c r="E244" i="7"/>
  <c r="F244" i="7"/>
  <c r="E245" i="7"/>
  <c r="F245" i="7"/>
  <c r="E246" i="7"/>
  <c r="F246" i="7"/>
  <c r="E247" i="7"/>
  <c r="F247" i="7"/>
  <c r="E248" i="7"/>
  <c r="F248" i="7"/>
  <c r="E249" i="7"/>
  <c r="F249" i="7"/>
  <c r="E250" i="7"/>
  <c r="F250" i="7"/>
  <c r="E251" i="7"/>
  <c r="F251" i="7"/>
  <c r="E252" i="7"/>
  <c r="F252" i="7"/>
  <c r="E253" i="7"/>
  <c r="F253" i="7"/>
  <c r="E254" i="7"/>
  <c r="F254" i="7"/>
  <c r="E255" i="7"/>
  <c r="F255" i="7"/>
  <c r="E256" i="7"/>
  <c r="F256" i="7"/>
  <c r="E257" i="7"/>
  <c r="F257" i="7"/>
  <c r="E258" i="7"/>
  <c r="F258" i="7"/>
  <c r="E259" i="7"/>
  <c r="F259" i="7"/>
  <c r="E260" i="7"/>
  <c r="F260" i="7"/>
  <c r="E261" i="7"/>
  <c r="F261" i="7"/>
  <c r="E262" i="7"/>
  <c r="F262" i="7"/>
  <c r="E263" i="7"/>
  <c r="F263" i="7"/>
  <c r="E264" i="7"/>
  <c r="F264" i="7"/>
  <c r="E265" i="7"/>
  <c r="F265" i="7"/>
  <c r="E266" i="7"/>
  <c r="F266" i="7"/>
  <c r="E267" i="7"/>
  <c r="F267" i="7"/>
  <c r="E268" i="7"/>
  <c r="F268" i="7"/>
  <c r="E269" i="7"/>
  <c r="F269" i="7"/>
  <c r="E270" i="7"/>
  <c r="F270" i="7"/>
  <c r="E271" i="7"/>
  <c r="F271" i="7"/>
  <c r="E272" i="7"/>
  <c r="F272" i="7"/>
  <c r="E273" i="7"/>
  <c r="F273" i="7"/>
  <c r="E274" i="7"/>
  <c r="F274" i="7"/>
  <c r="E275" i="7"/>
  <c r="F275" i="7"/>
  <c r="E276" i="7"/>
  <c r="F276" i="7"/>
  <c r="E277" i="7"/>
  <c r="F277" i="7"/>
  <c r="E278" i="7"/>
  <c r="F278" i="7"/>
  <c r="E279" i="7"/>
  <c r="F279" i="7"/>
  <c r="E280" i="7"/>
  <c r="F280" i="7"/>
  <c r="E281" i="7"/>
  <c r="F281" i="7"/>
  <c r="E282" i="7"/>
  <c r="F282" i="7"/>
  <c r="E283" i="7"/>
  <c r="F283" i="7"/>
  <c r="E284" i="7"/>
  <c r="F284" i="7"/>
  <c r="E285" i="7"/>
  <c r="F285" i="7"/>
  <c r="E286" i="7"/>
  <c r="F286" i="7"/>
  <c r="E287" i="7"/>
  <c r="F287" i="7"/>
  <c r="E288" i="7"/>
  <c r="F288" i="7"/>
  <c r="E289" i="7"/>
  <c r="F289" i="7"/>
  <c r="E290" i="7"/>
  <c r="F290" i="7"/>
  <c r="E291" i="7"/>
  <c r="F291" i="7"/>
  <c r="E292" i="7"/>
  <c r="F292" i="7"/>
  <c r="E293" i="7"/>
  <c r="F293" i="7"/>
  <c r="E294" i="7"/>
  <c r="F294" i="7"/>
  <c r="E295" i="7"/>
  <c r="F295" i="7"/>
  <c r="E296" i="7"/>
  <c r="F296" i="7"/>
  <c r="E297" i="7"/>
  <c r="F297" i="7"/>
  <c r="E298" i="7"/>
  <c r="F298" i="7"/>
  <c r="E299" i="7"/>
  <c r="F299" i="7"/>
  <c r="E300" i="7"/>
  <c r="F300" i="7"/>
  <c r="E301" i="7"/>
  <c r="F301" i="7"/>
  <c r="E302" i="7"/>
  <c r="F302" i="7"/>
  <c r="E303" i="7"/>
  <c r="F303" i="7"/>
  <c r="E304" i="7"/>
  <c r="F304" i="7"/>
  <c r="E305" i="7"/>
  <c r="F305" i="7"/>
  <c r="E306" i="7"/>
  <c r="F306" i="7"/>
  <c r="E307" i="7"/>
  <c r="F307" i="7"/>
  <c r="E308" i="7"/>
  <c r="F308" i="7"/>
  <c r="E309" i="7"/>
  <c r="F309" i="7"/>
  <c r="E310" i="7"/>
  <c r="F310" i="7"/>
  <c r="E311" i="7"/>
  <c r="F311" i="7"/>
  <c r="E312" i="7"/>
  <c r="F312" i="7"/>
  <c r="E313" i="7"/>
  <c r="F313" i="7"/>
  <c r="E314" i="7"/>
  <c r="F314" i="7"/>
  <c r="E315" i="7"/>
  <c r="F315" i="7"/>
  <c r="E316" i="7"/>
  <c r="F316" i="7"/>
  <c r="E317" i="7"/>
  <c r="F317" i="7"/>
  <c r="E318" i="7"/>
  <c r="F318" i="7"/>
  <c r="E319" i="7"/>
  <c r="F319" i="7"/>
  <c r="E320" i="7"/>
  <c r="F320" i="7"/>
  <c r="E321" i="7"/>
  <c r="F321" i="7"/>
  <c r="E322" i="7"/>
  <c r="F322" i="7"/>
  <c r="E323" i="7"/>
  <c r="F323" i="7"/>
  <c r="E324" i="7"/>
  <c r="F324" i="7"/>
  <c r="E325" i="7"/>
  <c r="F325" i="7"/>
  <c r="E326" i="7"/>
  <c r="F326" i="7"/>
  <c r="E327" i="7"/>
  <c r="F327" i="7"/>
  <c r="E328" i="7"/>
  <c r="F328" i="7"/>
  <c r="E329" i="7"/>
  <c r="F329" i="7"/>
  <c r="E330" i="7"/>
  <c r="F330" i="7"/>
  <c r="E331" i="7"/>
  <c r="F331" i="7"/>
  <c r="E332" i="7"/>
  <c r="F332" i="7"/>
  <c r="E333" i="7"/>
  <c r="F333" i="7"/>
  <c r="E334" i="7"/>
  <c r="F334" i="7"/>
  <c r="E335" i="7"/>
  <c r="F335" i="7"/>
  <c r="E336" i="7"/>
  <c r="F336" i="7"/>
  <c r="E337" i="7"/>
  <c r="F337" i="7"/>
  <c r="E338" i="7"/>
  <c r="F338" i="7"/>
  <c r="E339" i="7"/>
  <c r="F339" i="7"/>
  <c r="E340" i="7"/>
  <c r="F340" i="7"/>
  <c r="E341" i="7"/>
  <c r="F341" i="7"/>
  <c r="E342" i="7"/>
  <c r="F342" i="7"/>
  <c r="E343" i="7"/>
  <c r="F343" i="7"/>
  <c r="E344" i="7"/>
  <c r="F344" i="7"/>
  <c r="E345" i="7"/>
  <c r="F345" i="7"/>
  <c r="E346" i="7"/>
  <c r="F346" i="7"/>
  <c r="E347" i="7"/>
  <c r="F347" i="7"/>
  <c r="E348" i="7"/>
  <c r="F348" i="7"/>
  <c r="E349" i="7"/>
  <c r="F349" i="7"/>
  <c r="E350" i="7"/>
  <c r="F350" i="7"/>
  <c r="E351" i="7"/>
  <c r="F351" i="7"/>
  <c r="E352" i="7"/>
  <c r="F352" i="7"/>
  <c r="E353" i="7"/>
  <c r="F353" i="7"/>
  <c r="E354" i="7"/>
  <c r="F354" i="7"/>
  <c r="E355" i="7"/>
  <c r="F355" i="7"/>
  <c r="E356" i="7"/>
  <c r="F356" i="7"/>
  <c r="E357" i="7"/>
  <c r="F357" i="7"/>
  <c r="E358" i="7"/>
  <c r="F358" i="7"/>
  <c r="E359" i="7"/>
  <c r="F359" i="7"/>
  <c r="E360" i="7"/>
  <c r="F360" i="7"/>
  <c r="E361" i="7"/>
  <c r="F361" i="7"/>
  <c r="E362" i="7"/>
  <c r="F362" i="7"/>
  <c r="E363" i="7"/>
  <c r="F363" i="7"/>
  <c r="E364" i="7"/>
  <c r="F364" i="7"/>
  <c r="E365" i="7"/>
  <c r="F365" i="7"/>
  <c r="E366" i="7"/>
  <c r="F366" i="7"/>
  <c r="E367" i="7"/>
  <c r="F367" i="7"/>
  <c r="E368" i="7"/>
  <c r="F368" i="7"/>
  <c r="E369" i="7"/>
  <c r="F369" i="7"/>
  <c r="E370" i="7"/>
  <c r="F370" i="7"/>
  <c r="E371" i="7"/>
  <c r="F371" i="7"/>
  <c r="E372" i="7"/>
  <c r="F372" i="7"/>
  <c r="E373" i="7"/>
  <c r="F373" i="7"/>
  <c r="E374" i="7"/>
  <c r="F374" i="7"/>
  <c r="E375" i="7"/>
  <c r="F375" i="7"/>
  <c r="E376" i="7"/>
  <c r="F376" i="7"/>
  <c r="E377" i="7"/>
  <c r="F377" i="7"/>
  <c r="E378" i="7"/>
  <c r="F378" i="7"/>
  <c r="E379" i="7"/>
  <c r="F379" i="7"/>
  <c r="E380" i="7"/>
  <c r="F380" i="7"/>
  <c r="E381" i="7"/>
  <c r="F381" i="7"/>
  <c r="E382" i="7"/>
  <c r="F382" i="7"/>
  <c r="E383" i="7"/>
  <c r="F383" i="7"/>
  <c r="E384" i="7"/>
  <c r="F384" i="7"/>
  <c r="E385" i="7"/>
  <c r="F385" i="7"/>
  <c r="E386" i="7"/>
  <c r="F386" i="7"/>
  <c r="E387" i="7"/>
  <c r="F387" i="7"/>
  <c r="E388" i="7"/>
  <c r="F388" i="7"/>
  <c r="E389" i="7"/>
  <c r="F389" i="7"/>
  <c r="E390" i="7"/>
  <c r="F390" i="7"/>
  <c r="E391" i="7"/>
  <c r="F391" i="7"/>
  <c r="E392" i="7"/>
  <c r="F392" i="7"/>
  <c r="E393" i="7"/>
  <c r="F393" i="7"/>
  <c r="E394" i="7"/>
  <c r="F394" i="7"/>
  <c r="E395" i="7"/>
  <c r="F395" i="7"/>
  <c r="E396" i="7"/>
  <c r="F396" i="7"/>
  <c r="E397" i="7"/>
  <c r="F397" i="7"/>
  <c r="E398" i="7"/>
  <c r="F398" i="7"/>
  <c r="E399" i="7"/>
  <c r="F399" i="7"/>
  <c r="E400" i="7"/>
  <c r="F400" i="7"/>
  <c r="E401" i="7"/>
  <c r="F401" i="7"/>
  <c r="D401" i="7"/>
  <c r="D400" i="7"/>
  <c r="D399" i="7"/>
  <c r="D398" i="7"/>
  <c r="D397" i="7"/>
  <c r="D396" i="7"/>
  <c r="D395" i="7"/>
  <c r="D381" i="7"/>
  <c r="D380" i="7"/>
  <c r="D379" i="7"/>
  <c r="D378" i="7"/>
  <c r="D377" i="7"/>
  <c r="D376" i="7"/>
  <c r="D375" i="7"/>
  <c r="D361" i="7"/>
  <c r="D360" i="7"/>
  <c r="D359" i="7"/>
  <c r="D358" i="7"/>
  <c r="D357" i="7"/>
  <c r="D356" i="7"/>
  <c r="D355" i="7"/>
  <c r="D341" i="7"/>
  <c r="D340" i="7"/>
  <c r="D339" i="7"/>
  <c r="D338" i="7"/>
  <c r="D337" i="7"/>
  <c r="D336" i="7"/>
  <c r="D335" i="7"/>
  <c r="D321" i="7"/>
  <c r="D320" i="7"/>
  <c r="D319" i="7"/>
  <c r="D318" i="7"/>
  <c r="D317" i="7"/>
  <c r="D316" i="7"/>
  <c r="D315" i="7"/>
  <c r="D301" i="7"/>
  <c r="D300" i="7"/>
  <c r="D299" i="7"/>
  <c r="D298" i="7"/>
  <c r="D297" i="7"/>
  <c r="D296" i="7"/>
  <c r="D295" i="7"/>
  <c r="D281" i="7"/>
  <c r="D280" i="7"/>
  <c r="D279" i="7"/>
  <c r="D278" i="7"/>
  <c r="D277" i="7"/>
  <c r="D276" i="7"/>
  <c r="D275" i="7"/>
  <c r="D261" i="7"/>
  <c r="D260" i="7"/>
  <c r="D259" i="7"/>
  <c r="D258" i="7"/>
  <c r="D257" i="7"/>
  <c r="D256" i="7"/>
  <c r="D255" i="7"/>
  <c r="D241" i="7"/>
  <c r="D240" i="7"/>
  <c r="D239" i="7"/>
  <c r="D238" i="7"/>
  <c r="D237" i="7"/>
  <c r="D236" i="7"/>
  <c r="D235" i="7"/>
  <c r="D221" i="7"/>
  <c r="D220" i="7"/>
  <c r="D219" i="7"/>
  <c r="D218" i="7"/>
  <c r="D217" i="7"/>
  <c r="D216" i="7"/>
  <c r="D215" i="7"/>
  <c r="D201" i="7"/>
  <c r="D200" i="7"/>
  <c r="D199" i="7"/>
  <c r="D198" i="7"/>
  <c r="D197" i="7"/>
  <c r="D196" i="7"/>
  <c r="D195" i="7"/>
  <c r="D181" i="7"/>
  <c r="D180" i="7"/>
  <c r="D179" i="7"/>
  <c r="D178" i="7"/>
  <c r="D177" i="7"/>
  <c r="D176" i="7"/>
  <c r="D175" i="7"/>
  <c r="F3" i="7"/>
  <c r="F4" i="7"/>
  <c r="F5" i="7"/>
  <c r="F6" i="7"/>
  <c r="F7" i="7"/>
  <c r="F8" i="7"/>
  <c r="F9" i="7"/>
  <c r="F10" i="7"/>
  <c r="F11" i="7"/>
  <c r="F12" i="7"/>
  <c r="F13" i="7"/>
  <c r="F14"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2" i="7"/>
  <c r="E3" i="7"/>
  <c r="E4" i="7"/>
  <c r="E5" i="7"/>
  <c r="E6" i="7"/>
  <c r="E7" i="7"/>
  <c r="E8" i="7"/>
  <c r="E9" i="7"/>
  <c r="E10" i="7"/>
  <c r="E11" i="7"/>
  <c r="E12" i="7"/>
  <c r="E13" i="7"/>
  <c r="E14"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D161" i="7"/>
  <c r="D160" i="7"/>
  <c r="D159" i="7"/>
  <c r="D158" i="7"/>
  <c r="D157" i="7"/>
  <c r="D156" i="7"/>
  <c r="D155" i="7"/>
  <c r="D141" i="7"/>
  <c r="D140" i="7"/>
  <c r="D139" i="7"/>
  <c r="D138" i="7"/>
  <c r="D137" i="7"/>
  <c r="D136" i="7"/>
  <c r="D135" i="7"/>
  <c r="D121" i="7"/>
  <c r="D120" i="7"/>
  <c r="D119" i="7"/>
  <c r="D118" i="7"/>
  <c r="D117" i="7"/>
  <c r="D116" i="7"/>
  <c r="D115" i="7"/>
  <c r="D101" i="7"/>
  <c r="D100" i="7"/>
  <c r="D99" i="7"/>
  <c r="D98" i="7"/>
  <c r="D97" i="7"/>
  <c r="D96" i="7"/>
  <c r="D95" i="7"/>
  <c r="D81" i="7"/>
  <c r="D80" i="7"/>
  <c r="D79" i="7"/>
  <c r="D78" i="7"/>
  <c r="D77" i="7"/>
  <c r="D76" i="7"/>
  <c r="D75" i="7"/>
  <c r="D61" i="7"/>
  <c r="D60" i="7"/>
  <c r="D59" i="7"/>
  <c r="D58" i="7"/>
  <c r="D57" i="7"/>
  <c r="D56" i="7"/>
  <c r="D55" i="7"/>
  <c r="D41" i="7"/>
  <c r="D40" i="7"/>
  <c r="D39" i="7"/>
  <c r="D38" i="7"/>
  <c r="D37" i="7"/>
  <c r="D36" i="7"/>
  <c r="D35" i="7"/>
  <c r="D21" i="7"/>
  <c r="D20" i="7"/>
  <c r="D19" i="7"/>
  <c r="D18" i="7"/>
  <c r="D17" i="7"/>
  <c r="D16" i="7"/>
  <c r="D15" i="7"/>
  <c r="F15" i="7" s="1"/>
  <c r="E15" i="7" l="1"/>
  <c r="N3" i="2"/>
  <c r="N4" i="2"/>
  <c r="N5" i="2"/>
  <c r="N6" i="2"/>
  <c r="N7" i="2"/>
  <c r="N8" i="2"/>
  <c r="N9" i="2"/>
  <c r="N10" i="2"/>
  <c r="N11" i="2"/>
  <c r="N12" i="2"/>
  <c r="N13" i="2"/>
  <c r="N14" i="2"/>
  <c r="N2" i="2"/>
  <c r="M2" i="2"/>
  <c r="M3" i="2"/>
  <c r="M4" i="2"/>
  <c r="M5" i="2"/>
  <c r="M6" i="2"/>
  <c r="M7" i="2"/>
  <c r="M8" i="2"/>
  <c r="M9" i="2"/>
  <c r="M10" i="2"/>
  <c r="M11" i="2"/>
  <c r="M12" i="2"/>
  <c r="M13" i="2"/>
  <c r="M14" i="2"/>
</calcChain>
</file>

<file path=xl/sharedStrings.xml><?xml version="1.0" encoding="utf-8"?>
<sst xmlns="http://schemas.openxmlformats.org/spreadsheetml/2006/main" count="3555" uniqueCount="1638">
  <si>
    <t>Trimestre</t>
  </si>
  <si>
    <t>Numero_semaine</t>
  </si>
  <si>
    <t>DateJ7</t>
  </si>
  <si>
    <t>Monday 1 April 2024</t>
  </si>
  <si>
    <t>Monday 1 July 2024</t>
  </si>
  <si>
    <t>Monday 8 April 2024</t>
  </si>
  <si>
    <t>Semaine 1</t>
  </si>
  <si>
    <t>Semaine 2</t>
  </si>
  <si>
    <t>Semaine 3</t>
  </si>
  <si>
    <t>Semaine 4</t>
  </si>
  <si>
    <t>Semaine 5</t>
  </si>
  <si>
    <t>Semaine 6</t>
  </si>
  <si>
    <t>Semaine 7</t>
  </si>
  <si>
    <t>Semaine 8</t>
  </si>
  <si>
    <t>Semaine 9</t>
  </si>
  <si>
    <t>Semaine 10</t>
  </si>
  <si>
    <t>Semaine 11</t>
  </si>
  <si>
    <t>Semaine 12</t>
  </si>
  <si>
    <t>Semaine 13</t>
  </si>
  <si>
    <t>Monday 15 April 2024</t>
  </si>
  <si>
    <t>Monday 22 April 2024</t>
  </si>
  <si>
    <t>Monday 29 April 2024</t>
  </si>
  <si>
    <t>Monday 6 May 2024</t>
  </si>
  <si>
    <t>Monday 13 May 2024</t>
  </si>
  <si>
    <t>Monday 20 May 2024</t>
  </si>
  <si>
    <t>Monday 27 May 2024</t>
  </si>
  <si>
    <t>Monday 3 June 2024</t>
  </si>
  <si>
    <t>Monday 10 June 2024</t>
  </si>
  <si>
    <t>Monday 17 June 2024</t>
  </si>
  <si>
    <t>Monday 24 June 2024</t>
  </si>
  <si>
    <t>Friday 13 September 2024</t>
  </si>
  <si>
    <t>Friday 23 August 2024</t>
  </si>
  <si>
    <t>Friday 28 June 2024</t>
  </si>
  <si>
    <t>Friday 30 August 2024</t>
  </si>
  <si>
    <t>Monday 12 August 2024</t>
  </si>
  <si>
    <t>Monday 15 July 2024</t>
  </si>
  <si>
    <t>Monday 16 September 2024</t>
  </si>
  <si>
    <t>Monday 19 August 2024</t>
  </si>
  <si>
    <t>Monday 2 September 2024</t>
  </si>
  <si>
    <t>Monday 22 July 2024</t>
  </si>
  <si>
    <t>Monday 23 September 2024</t>
  </si>
  <si>
    <t>Monday 26 August 2024</t>
  </si>
  <si>
    <t>Monday 29 July 2024</t>
  </si>
  <si>
    <t>Monday 5 August 2024</t>
  </si>
  <si>
    <t>Monday 8 July 2024</t>
  </si>
  <si>
    <t>Monday 9 September 2024</t>
  </si>
  <si>
    <t>Sunday 1 September 2024</t>
  </si>
  <si>
    <t>Thursday 22 August 2024</t>
  </si>
  <si>
    <t>Tuesday 13 August 2024</t>
  </si>
  <si>
    <t>Tuesday 27 August 2024</t>
  </si>
  <si>
    <t>Monday 7 October 2024</t>
  </si>
  <si>
    <t>Monday 14 October 2024</t>
  </si>
  <si>
    <t>Monday 21 October 2024</t>
  </si>
  <si>
    <t>Monday 28 October 2024</t>
  </si>
  <si>
    <t>Monday 30 September 2024</t>
  </si>
  <si>
    <t>Monday 4 November 2024</t>
  </si>
  <si>
    <t>Monday 11 November 2024</t>
  </si>
  <si>
    <t>Monday 18 November 2024</t>
  </si>
  <si>
    <t>Monday 25 November 2024</t>
  </si>
  <si>
    <t>Monday 2 December 2024</t>
  </si>
  <si>
    <t>Monday 9 December 2024</t>
  </si>
  <si>
    <t>Monday 16 December 2024</t>
  </si>
  <si>
    <t>Monday 23 December 2024</t>
  </si>
  <si>
    <t>Monday 30 December 2024</t>
  </si>
  <si>
    <t>Monday 6 January 2025</t>
  </si>
  <si>
    <t>Monday 13 January 2025</t>
  </si>
  <si>
    <t>Monday 20 January 2025</t>
  </si>
  <si>
    <t>Monday 27 January 2025</t>
  </si>
  <si>
    <t>Monday 3 February 2025</t>
  </si>
  <si>
    <t>Monday 10 February 2025</t>
  </si>
  <si>
    <t>Monday 17 February 2025</t>
  </si>
  <si>
    <t>Monday 24 February 2025</t>
  </si>
  <si>
    <t>Monday 3 March 2025</t>
  </si>
  <si>
    <t>Monday 10 March 2025</t>
  </si>
  <si>
    <t>Monday 17 March 2025</t>
  </si>
  <si>
    <t>Monday 24 March 2025</t>
  </si>
  <si>
    <t>Monday 31 March 2025</t>
  </si>
  <si>
    <t>Monday 7 April 2025</t>
  </si>
  <si>
    <t>Monday 14 April 2025</t>
  </si>
  <si>
    <t>Monday 21 April 2025</t>
  </si>
  <si>
    <t>Monday 28 April 2025</t>
  </si>
  <si>
    <t>Monday 5 May 2025</t>
  </si>
  <si>
    <t>Monday 12 May 2025</t>
  </si>
  <si>
    <t>Monday 19 May 2025</t>
  </si>
  <si>
    <t>Monday 26 May 2025</t>
  </si>
  <si>
    <t>Monday 2 June 2025</t>
  </si>
  <si>
    <t>Monday 9 June 2025</t>
  </si>
  <si>
    <t>Monday 16 June 2025</t>
  </si>
  <si>
    <t>Monday 23 June 2025</t>
  </si>
  <si>
    <t>Monday 30 June 2025</t>
  </si>
  <si>
    <t>Monday 7 July 2025</t>
  </si>
  <si>
    <t>Monday 14 July 2025</t>
  </si>
  <si>
    <t>Monday 21 July 2025</t>
  </si>
  <si>
    <t>Monday 28 July 2025</t>
  </si>
  <si>
    <t>Monday 4 August 2025</t>
  </si>
  <si>
    <t>Monday 11 August 2025</t>
  </si>
  <si>
    <t>Monday 18 August 2025</t>
  </si>
  <si>
    <t>Monday 25 August 2025</t>
  </si>
  <si>
    <t>Monday 1 September 2025</t>
  </si>
  <si>
    <t>Monday 8 September 2025</t>
  </si>
  <si>
    <t>Monday 15 September 2025</t>
  </si>
  <si>
    <t>Monday 22 September 2025</t>
  </si>
  <si>
    <t>T2_2024</t>
  </si>
  <si>
    <t>T2_2025</t>
  </si>
  <si>
    <t>T3_2024</t>
  </si>
  <si>
    <t>T3_2025</t>
  </si>
  <si>
    <t>T4_2024</t>
  </si>
  <si>
    <t>T1_2025</t>
  </si>
  <si>
    <t>T4_2025</t>
  </si>
  <si>
    <t>Monday 29 September 2025</t>
  </si>
  <si>
    <t>Monday 6 October 2025</t>
  </si>
  <si>
    <t>Monday 13 October 2025</t>
  </si>
  <si>
    <t>Monday 20 October 2025</t>
  </si>
  <si>
    <t>Monday 27 October 2025</t>
  </si>
  <si>
    <t>Monday 3 November 2025</t>
  </si>
  <si>
    <t>Monday 10 November 2025</t>
  </si>
  <si>
    <t>Monday 17 November 2025</t>
  </si>
  <si>
    <t>Monday 24 November 2025</t>
  </si>
  <si>
    <t>Monday 1 December 2025</t>
  </si>
  <si>
    <t>Monday 8 December 2025</t>
  </si>
  <si>
    <t>Monday 15 December 2025</t>
  </si>
  <si>
    <t>Monday 22 December 2025</t>
  </si>
  <si>
    <t>T4_2026</t>
  </si>
  <si>
    <t>T4_2027</t>
  </si>
  <si>
    <t>T1_2026</t>
  </si>
  <si>
    <t>Monday 29 December 2025</t>
  </si>
  <si>
    <t>Monday 5 January 2026</t>
  </si>
  <si>
    <t>Monday 12 January 2026</t>
  </si>
  <si>
    <t>Monday 19 January 2026</t>
  </si>
  <si>
    <t>Monday 26 January 2026</t>
  </si>
  <si>
    <t>Monday 2 February 2026</t>
  </si>
  <si>
    <t>Monday 9 February 2026</t>
  </si>
  <si>
    <t>Monday 16 February 2026</t>
  </si>
  <si>
    <t>Monday 23 February 2026</t>
  </si>
  <si>
    <t>Monday 2 March 2026</t>
  </si>
  <si>
    <t>Monday 9 March 2026</t>
  </si>
  <si>
    <t>Monday 16 March 2026</t>
  </si>
  <si>
    <t>Monday 23 March 2026</t>
  </si>
  <si>
    <t>T1_2027</t>
  </si>
  <si>
    <t>Date1</t>
  </si>
  <si>
    <t>Date2</t>
  </si>
  <si>
    <t>T2_2026</t>
  </si>
  <si>
    <r>
      <t xml:space="preserve">Monday </t>
    </r>
    <r>
      <rPr>
        <b/>
        <sz val="11"/>
        <color theme="1"/>
        <rFont val="Aptos Narrow"/>
        <family val="2"/>
        <scheme val="minor"/>
      </rPr>
      <t>30 March 2026</t>
    </r>
  </si>
  <si>
    <r>
      <t xml:space="preserve">Monday </t>
    </r>
    <r>
      <rPr>
        <b/>
        <sz val="11"/>
        <color theme="1"/>
        <rFont val="Aptos Narrow"/>
        <family val="2"/>
        <scheme val="minor"/>
      </rPr>
      <t>6 April 2026</t>
    </r>
  </si>
  <si>
    <r>
      <t xml:space="preserve">Monday </t>
    </r>
    <r>
      <rPr>
        <b/>
        <sz val="11"/>
        <color theme="1"/>
        <rFont val="Aptos Narrow"/>
        <family val="2"/>
        <scheme val="minor"/>
      </rPr>
      <t>13 April 2026</t>
    </r>
  </si>
  <si>
    <r>
      <t xml:space="preserve">Monday </t>
    </r>
    <r>
      <rPr>
        <b/>
        <sz val="11"/>
        <color theme="1"/>
        <rFont val="Aptos Narrow"/>
        <family val="2"/>
        <scheme val="minor"/>
      </rPr>
      <t>20 April 2026</t>
    </r>
  </si>
  <si>
    <r>
      <t xml:space="preserve">Monday </t>
    </r>
    <r>
      <rPr>
        <b/>
        <sz val="11"/>
        <color theme="1"/>
        <rFont val="Aptos Narrow"/>
        <family val="2"/>
        <scheme val="minor"/>
      </rPr>
      <t>27 April 2026</t>
    </r>
  </si>
  <si>
    <r>
      <t xml:space="preserve">Monday </t>
    </r>
    <r>
      <rPr>
        <b/>
        <sz val="11"/>
        <color theme="1"/>
        <rFont val="Aptos Narrow"/>
        <family val="2"/>
        <scheme val="minor"/>
      </rPr>
      <t>4 May 2026</t>
    </r>
  </si>
  <si>
    <r>
      <t xml:space="preserve">Monday </t>
    </r>
    <r>
      <rPr>
        <b/>
        <sz val="11"/>
        <color theme="1"/>
        <rFont val="Aptos Narrow"/>
        <family val="2"/>
        <scheme val="minor"/>
      </rPr>
      <t>11 May 2026</t>
    </r>
  </si>
  <si>
    <r>
      <t xml:space="preserve">Monday </t>
    </r>
    <r>
      <rPr>
        <b/>
        <sz val="11"/>
        <color theme="1"/>
        <rFont val="Aptos Narrow"/>
        <family val="2"/>
        <scheme val="minor"/>
      </rPr>
      <t>18 May 2026</t>
    </r>
  </si>
  <si>
    <r>
      <t xml:space="preserve">Monday </t>
    </r>
    <r>
      <rPr>
        <b/>
        <sz val="11"/>
        <color theme="1"/>
        <rFont val="Aptos Narrow"/>
        <family val="2"/>
        <scheme val="minor"/>
      </rPr>
      <t>25 May 2026</t>
    </r>
  </si>
  <si>
    <r>
      <t xml:space="preserve">Monday </t>
    </r>
    <r>
      <rPr>
        <b/>
        <sz val="11"/>
        <color theme="1"/>
        <rFont val="Aptos Narrow"/>
        <family val="2"/>
        <scheme val="minor"/>
      </rPr>
      <t>8 June 2026</t>
    </r>
  </si>
  <si>
    <r>
      <t xml:space="preserve">Monday </t>
    </r>
    <r>
      <rPr>
        <b/>
        <sz val="11"/>
        <color theme="1"/>
        <rFont val="Aptos Narrow"/>
        <family val="2"/>
        <scheme val="minor"/>
      </rPr>
      <t>15 June 2026</t>
    </r>
  </si>
  <si>
    <r>
      <t xml:space="preserve">Monday </t>
    </r>
    <r>
      <rPr>
        <b/>
        <sz val="11"/>
        <color theme="1"/>
        <rFont val="Aptos Narrow"/>
        <family val="2"/>
        <scheme val="minor"/>
      </rPr>
      <t>22 June 2026</t>
    </r>
  </si>
  <si>
    <t>T2_2027</t>
  </si>
  <si>
    <t>T3_2026</t>
  </si>
  <si>
    <r>
      <t xml:space="preserve">Monday </t>
    </r>
    <r>
      <rPr>
        <b/>
        <sz val="11"/>
        <color theme="1"/>
        <rFont val="Aptos Narrow"/>
        <family val="2"/>
        <scheme val="minor"/>
      </rPr>
      <t>29 June 2026</t>
    </r>
  </si>
  <si>
    <r>
      <t xml:space="preserve">Monday </t>
    </r>
    <r>
      <rPr>
        <b/>
        <sz val="11"/>
        <color theme="1"/>
        <rFont val="Aptos Narrow"/>
        <family val="2"/>
        <scheme val="minor"/>
      </rPr>
      <t>6 July 2026</t>
    </r>
  </si>
  <si>
    <r>
      <t xml:space="preserve">Monday </t>
    </r>
    <r>
      <rPr>
        <b/>
        <sz val="11"/>
        <color theme="1"/>
        <rFont val="Aptos Narrow"/>
        <family val="2"/>
        <scheme val="minor"/>
      </rPr>
      <t>13 July 2026</t>
    </r>
  </si>
  <si>
    <r>
      <t xml:space="preserve">Monday </t>
    </r>
    <r>
      <rPr>
        <b/>
        <sz val="11"/>
        <color theme="1"/>
        <rFont val="Aptos Narrow"/>
        <family val="2"/>
        <scheme val="minor"/>
      </rPr>
      <t>20 July 2026</t>
    </r>
  </si>
  <si>
    <r>
      <t xml:space="preserve">Monday </t>
    </r>
    <r>
      <rPr>
        <b/>
        <sz val="11"/>
        <color theme="1"/>
        <rFont val="Aptos Narrow"/>
        <family val="2"/>
        <scheme val="minor"/>
      </rPr>
      <t>27 July 2026</t>
    </r>
  </si>
  <si>
    <r>
      <t xml:space="preserve">Monday </t>
    </r>
    <r>
      <rPr>
        <b/>
        <sz val="11"/>
        <color theme="1"/>
        <rFont val="Aptos Narrow"/>
        <family val="2"/>
        <scheme val="minor"/>
      </rPr>
      <t>3 August 2026</t>
    </r>
  </si>
  <si>
    <r>
      <t xml:space="preserve">Monday </t>
    </r>
    <r>
      <rPr>
        <b/>
        <sz val="11"/>
        <color theme="1"/>
        <rFont val="Aptos Narrow"/>
        <family val="2"/>
        <scheme val="minor"/>
      </rPr>
      <t>10 August 2026</t>
    </r>
  </si>
  <si>
    <r>
      <t xml:space="preserve">Monday </t>
    </r>
    <r>
      <rPr>
        <b/>
        <sz val="11"/>
        <color theme="1"/>
        <rFont val="Aptos Narrow"/>
        <family val="2"/>
        <scheme val="minor"/>
      </rPr>
      <t>17 August 2026</t>
    </r>
  </si>
  <si>
    <r>
      <t xml:space="preserve">Monday </t>
    </r>
    <r>
      <rPr>
        <b/>
        <sz val="11"/>
        <color theme="1"/>
        <rFont val="Aptos Narrow"/>
        <family val="2"/>
        <scheme val="minor"/>
      </rPr>
      <t>24 August 2026</t>
    </r>
  </si>
  <si>
    <r>
      <t xml:space="preserve">Monday </t>
    </r>
    <r>
      <rPr>
        <b/>
        <sz val="11"/>
        <color theme="1"/>
        <rFont val="Aptos Narrow"/>
        <family val="2"/>
        <scheme val="minor"/>
      </rPr>
      <t>31 August 2026</t>
    </r>
  </si>
  <si>
    <r>
      <t xml:space="preserve">Monday </t>
    </r>
    <r>
      <rPr>
        <b/>
        <sz val="11"/>
        <color theme="1"/>
        <rFont val="Aptos Narrow"/>
        <family val="2"/>
        <scheme val="minor"/>
      </rPr>
      <t>7 September 2026</t>
    </r>
  </si>
  <si>
    <r>
      <t xml:space="preserve">Monday </t>
    </r>
    <r>
      <rPr>
        <b/>
        <sz val="11"/>
        <color theme="1"/>
        <rFont val="Aptos Narrow"/>
        <family val="2"/>
        <scheme val="minor"/>
      </rPr>
      <t>14 September 2026</t>
    </r>
  </si>
  <si>
    <r>
      <t xml:space="preserve">Monday </t>
    </r>
    <r>
      <rPr>
        <b/>
        <sz val="11"/>
        <color theme="1"/>
        <rFont val="Aptos Narrow"/>
        <family val="2"/>
        <scheme val="minor"/>
      </rPr>
      <t>21 September 2026</t>
    </r>
  </si>
  <si>
    <t>T3_2027</t>
  </si>
  <si>
    <r>
      <t xml:space="preserve">Monday </t>
    </r>
    <r>
      <rPr>
        <b/>
        <sz val="11"/>
        <color theme="1"/>
        <rFont val="Aptos Narrow"/>
        <family val="2"/>
        <scheme val="minor"/>
      </rPr>
      <t>28 September 2026</t>
    </r>
  </si>
  <si>
    <r>
      <t xml:space="preserve">Monday </t>
    </r>
    <r>
      <rPr>
        <b/>
        <sz val="11"/>
        <color theme="1"/>
        <rFont val="Aptos Narrow"/>
        <family val="2"/>
        <scheme val="minor"/>
      </rPr>
      <t>5 October 2026</t>
    </r>
  </si>
  <si>
    <r>
      <t xml:space="preserve">Monday </t>
    </r>
    <r>
      <rPr>
        <b/>
        <sz val="11"/>
        <color theme="1"/>
        <rFont val="Aptos Narrow"/>
        <family val="2"/>
        <scheme val="minor"/>
      </rPr>
      <t>12 October 2026</t>
    </r>
  </si>
  <si>
    <r>
      <t xml:space="preserve">Monday </t>
    </r>
    <r>
      <rPr>
        <b/>
        <sz val="11"/>
        <color theme="1"/>
        <rFont val="Aptos Narrow"/>
        <family val="2"/>
        <scheme val="minor"/>
      </rPr>
      <t>19 October 2026</t>
    </r>
  </si>
  <si>
    <r>
      <t xml:space="preserve">Monday </t>
    </r>
    <r>
      <rPr>
        <b/>
        <sz val="11"/>
        <color theme="1"/>
        <rFont val="Aptos Narrow"/>
        <family val="2"/>
        <scheme val="minor"/>
      </rPr>
      <t>26 October 2026</t>
    </r>
  </si>
  <si>
    <r>
      <t xml:space="preserve">Monday </t>
    </r>
    <r>
      <rPr>
        <b/>
        <sz val="11"/>
        <color theme="1"/>
        <rFont val="Aptos Narrow"/>
        <family val="2"/>
        <scheme val="minor"/>
      </rPr>
      <t>2 November 2026</t>
    </r>
  </si>
  <si>
    <r>
      <t xml:space="preserve">Monday </t>
    </r>
    <r>
      <rPr>
        <b/>
        <sz val="11"/>
        <color theme="1"/>
        <rFont val="Aptos Narrow"/>
        <family val="2"/>
        <scheme val="minor"/>
      </rPr>
      <t>9 November 2026</t>
    </r>
  </si>
  <si>
    <r>
      <t xml:space="preserve">Monday </t>
    </r>
    <r>
      <rPr>
        <b/>
        <sz val="11"/>
        <color theme="1"/>
        <rFont val="Aptos Narrow"/>
        <family val="2"/>
        <scheme val="minor"/>
      </rPr>
      <t>16 November 2026</t>
    </r>
  </si>
  <si>
    <r>
      <t xml:space="preserve">Monday </t>
    </r>
    <r>
      <rPr>
        <b/>
        <sz val="11"/>
        <color theme="1"/>
        <rFont val="Aptos Narrow"/>
        <family val="2"/>
        <scheme val="minor"/>
      </rPr>
      <t>23 November 2026</t>
    </r>
  </si>
  <si>
    <r>
      <t xml:space="preserve">Monday </t>
    </r>
    <r>
      <rPr>
        <b/>
        <sz val="11"/>
        <color theme="1"/>
        <rFont val="Aptos Narrow"/>
        <family val="2"/>
        <scheme val="minor"/>
      </rPr>
      <t>30 November 2026</t>
    </r>
  </si>
  <si>
    <r>
      <t xml:space="preserve">Monday </t>
    </r>
    <r>
      <rPr>
        <b/>
        <sz val="11"/>
        <color theme="1"/>
        <rFont val="Aptos Narrow"/>
        <family val="2"/>
        <scheme val="minor"/>
      </rPr>
      <t>7 December 2026</t>
    </r>
  </si>
  <si>
    <r>
      <t xml:space="preserve">Monday </t>
    </r>
    <r>
      <rPr>
        <b/>
        <sz val="11"/>
        <color theme="1"/>
        <rFont val="Aptos Narrow"/>
        <family val="2"/>
        <scheme val="minor"/>
      </rPr>
      <t>14 December 2026</t>
    </r>
  </si>
  <si>
    <r>
      <t xml:space="preserve">Monday </t>
    </r>
    <r>
      <rPr>
        <b/>
        <sz val="11"/>
        <color theme="1"/>
        <rFont val="Aptos Narrow"/>
        <family val="2"/>
        <scheme val="minor"/>
      </rPr>
      <t>21 December 2026</t>
    </r>
  </si>
  <si>
    <r>
      <t xml:space="preserve">Monday </t>
    </r>
    <r>
      <rPr>
        <b/>
        <sz val="11"/>
        <color theme="1"/>
        <rFont val="Aptos Narrow"/>
        <family val="2"/>
        <scheme val="minor"/>
      </rPr>
      <t>28 December 2026</t>
    </r>
  </si>
  <si>
    <r>
      <t xml:space="preserve">Monday </t>
    </r>
    <r>
      <rPr>
        <b/>
        <sz val="11"/>
        <color theme="1"/>
        <rFont val="Aptos Narrow"/>
        <family val="2"/>
        <scheme val="minor"/>
      </rPr>
      <t>4 January 2027</t>
    </r>
  </si>
  <si>
    <r>
      <t xml:space="preserve">Monday </t>
    </r>
    <r>
      <rPr>
        <b/>
        <sz val="11"/>
        <color theme="1"/>
        <rFont val="Aptos Narrow"/>
        <family val="2"/>
        <scheme val="minor"/>
      </rPr>
      <t>11 January 2027</t>
    </r>
  </si>
  <si>
    <r>
      <t xml:space="preserve">Monday </t>
    </r>
    <r>
      <rPr>
        <b/>
        <sz val="11"/>
        <color theme="1"/>
        <rFont val="Aptos Narrow"/>
        <family val="2"/>
        <scheme val="minor"/>
      </rPr>
      <t>18 January 2027</t>
    </r>
  </si>
  <si>
    <r>
      <t xml:space="preserve">Monday </t>
    </r>
    <r>
      <rPr>
        <b/>
        <sz val="11"/>
        <color theme="1"/>
        <rFont val="Aptos Narrow"/>
        <family val="2"/>
        <scheme val="minor"/>
      </rPr>
      <t>25 January 2027</t>
    </r>
  </si>
  <si>
    <r>
      <t xml:space="preserve">Monday </t>
    </r>
    <r>
      <rPr>
        <b/>
        <sz val="11"/>
        <color theme="1"/>
        <rFont val="Aptos Narrow"/>
        <family val="2"/>
        <scheme val="minor"/>
      </rPr>
      <t>1 February 2027</t>
    </r>
  </si>
  <si>
    <r>
      <t xml:space="preserve">Monday </t>
    </r>
    <r>
      <rPr>
        <b/>
        <sz val="11"/>
        <color theme="1"/>
        <rFont val="Aptos Narrow"/>
        <family val="2"/>
        <scheme val="minor"/>
      </rPr>
      <t>8 February 2027</t>
    </r>
  </si>
  <si>
    <r>
      <t xml:space="preserve">Monday </t>
    </r>
    <r>
      <rPr>
        <b/>
        <sz val="11"/>
        <color theme="1"/>
        <rFont val="Aptos Narrow"/>
        <family val="2"/>
        <scheme val="minor"/>
      </rPr>
      <t>15 February 2027</t>
    </r>
  </si>
  <si>
    <r>
      <t xml:space="preserve">Monday </t>
    </r>
    <r>
      <rPr>
        <b/>
        <sz val="11"/>
        <color theme="1"/>
        <rFont val="Aptos Narrow"/>
        <family val="2"/>
        <scheme val="minor"/>
      </rPr>
      <t>22 February 2027</t>
    </r>
  </si>
  <si>
    <r>
      <t xml:space="preserve">Monday </t>
    </r>
    <r>
      <rPr>
        <b/>
        <sz val="11"/>
        <color theme="1"/>
        <rFont val="Aptos Narrow"/>
        <family val="2"/>
        <scheme val="minor"/>
      </rPr>
      <t>1 March 2027</t>
    </r>
  </si>
  <si>
    <r>
      <t xml:space="preserve">Monday </t>
    </r>
    <r>
      <rPr>
        <b/>
        <sz val="11"/>
        <color theme="1"/>
        <rFont val="Aptos Narrow"/>
        <family val="2"/>
        <scheme val="minor"/>
      </rPr>
      <t>8 March 2027</t>
    </r>
  </si>
  <si>
    <r>
      <t xml:space="preserve">Monday </t>
    </r>
    <r>
      <rPr>
        <b/>
        <sz val="11"/>
        <color theme="1"/>
        <rFont val="Aptos Narrow"/>
        <family val="2"/>
        <scheme val="minor"/>
      </rPr>
      <t>15 March 2027</t>
    </r>
  </si>
  <si>
    <r>
      <t xml:space="preserve">Monday </t>
    </r>
    <r>
      <rPr>
        <b/>
        <sz val="11"/>
        <color theme="1"/>
        <rFont val="Aptos Narrow"/>
        <family val="2"/>
        <scheme val="minor"/>
      </rPr>
      <t>22 March 2027</t>
    </r>
  </si>
  <si>
    <r>
      <t xml:space="preserve">Monday </t>
    </r>
    <r>
      <rPr>
        <b/>
        <sz val="11"/>
        <color theme="1"/>
        <rFont val="Aptos Narrow"/>
        <family val="2"/>
        <scheme val="minor"/>
      </rPr>
      <t>29 March 2027</t>
    </r>
  </si>
  <si>
    <r>
      <t xml:space="preserve">Monday </t>
    </r>
    <r>
      <rPr>
        <b/>
        <sz val="11"/>
        <color theme="1"/>
        <rFont val="Aptos Narrow"/>
        <family val="2"/>
        <scheme val="minor"/>
      </rPr>
      <t>5 April 2027</t>
    </r>
  </si>
  <si>
    <r>
      <t xml:space="preserve">Monday </t>
    </r>
    <r>
      <rPr>
        <b/>
        <sz val="11"/>
        <color theme="1"/>
        <rFont val="Aptos Narrow"/>
        <family val="2"/>
        <scheme val="minor"/>
      </rPr>
      <t>12 April 2027</t>
    </r>
  </si>
  <si>
    <r>
      <t xml:space="preserve">Monday </t>
    </r>
    <r>
      <rPr>
        <b/>
        <sz val="11"/>
        <color theme="1"/>
        <rFont val="Aptos Narrow"/>
        <family val="2"/>
        <scheme val="minor"/>
      </rPr>
      <t>19 April 2027</t>
    </r>
  </si>
  <si>
    <r>
      <t xml:space="preserve">Monday </t>
    </r>
    <r>
      <rPr>
        <b/>
        <sz val="11"/>
        <color theme="1"/>
        <rFont val="Aptos Narrow"/>
        <family val="2"/>
        <scheme val="minor"/>
      </rPr>
      <t>26 April 2027</t>
    </r>
  </si>
  <si>
    <r>
      <t xml:space="preserve">Monday </t>
    </r>
    <r>
      <rPr>
        <b/>
        <sz val="11"/>
        <color theme="1"/>
        <rFont val="Aptos Narrow"/>
        <family val="2"/>
        <scheme val="minor"/>
      </rPr>
      <t>3 May 2027</t>
    </r>
  </si>
  <si>
    <r>
      <t xml:space="preserve">Monday </t>
    </r>
    <r>
      <rPr>
        <b/>
        <sz val="11"/>
        <color theme="1"/>
        <rFont val="Aptos Narrow"/>
        <family val="2"/>
        <scheme val="minor"/>
      </rPr>
      <t>10 May 2027</t>
    </r>
  </si>
  <si>
    <r>
      <t xml:space="preserve">Monday </t>
    </r>
    <r>
      <rPr>
        <b/>
        <sz val="11"/>
        <color theme="1"/>
        <rFont val="Aptos Narrow"/>
        <family val="2"/>
        <scheme val="minor"/>
      </rPr>
      <t>17 May 2027</t>
    </r>
  </si>
  <si>
    <r>
      <t xml:space="preserve">Monday </t>
    </r>
    <r>
      <rPr>
        <b/>
        <sz val="11"/>
        <color theme="1"/>
        <rFont val="Aptos Narrow"/>
        <family val="2"/>
        <scheme val="minor"/>
      </rPr>
      <t>24 May 2027</t>
    </r>
  </si>
  <si>
    <r>
      <t xml:space="preserve">Monday </t>
    </r>
    <r>
      <rPr>
        <b/>
        <sz val="11"/>
        <color theme="1"/>
        <rFont val="Aptos Narrow"/>
        <family val="2"/>
        <scheme val="minor"/>
      </rPr>
      <t>31 May 2027</t>
    </r>
  </si>
  <si>
    <r>
      <t xml:space="preserve">Monday </t>
    </r>
    <r>
      <rPr>
        <b/>
        <sz val="11"/>
        <color theme="1"/>
        <rFont val="Aptos Narrow"/>
        <family val="2"/>
        <scheme val="minor"/>
      </rPr>
      <t>7 June 2027</t>
    </r>
  </si>
  <si>
    <r>
      <t xml:space="preserve">Monday </t>
    </r>
    <r>
      <rPr>
        <b/>
        <sz val="11"/>
        <color theme="1"/>
        <rFont val="Aptos Narrow"/>
        <family val="2"/>
        <scheme val="minor"/>
      </rPr>
      <t>14 June 2027</t>
    </r>
  </si>
  <si>
    <r>
      <t xml:space="preserve">Monday </t>
    </r>
    <r>
      <rPr>
        <b/>
        <sz val="11"/>
        <color theme="1"/>
        <rFont val="Aptos Narrow"/>
        <family val="2"/>
        <scheme val="minor"/>
      </rPr>
      <t>21 June 2027</t>
    </r>
  </si>
  <si>
    <r>
      <t xml:space="preserve">Monday </t>
    </r>
    <r>
      <rPr>
        <b/>
        <sz val="11"/>
        <color theme="1"/>
        <rFont val="Aptos Narrow"/>
        <family val="2"/>
        <scheme val="minor"/>
      </rPr>
      <t>28 June 2027</t>
    </r>
  </si>
  <si>
    <r>
      <t xml:space="preserve">Monday </t>
    </r>
    <r>
      <rPr>
        <b/>
        <sz val="11"/>
        <color theme="1"/>
        <rFont val="Aptos Narrow"/>
        <family val="2"/>
        <scheme val="minor"/>
      </rPr>
      <t>5 July 2027</t>
    </r>
  </si>
  <si>
    <r>
      <t xml:space="preserve">Monday </t>
    </r>
    <r>
      <rPr>
        <b/>
        <sz val="11"/>
        <color theme="1"/>
        <rFont val="Aptos Narrow"/>
        <family val="2"/>
        <scheme val="minor"/>
      </rPr>
      <t>12 July 2027</t>
    </r>
  </si>
  <si>
    <r>
      <t xml:space="preserve">Monday </t>
    </r>
    <r>
      <rPr>
        <b/>
        <sz val="11"/>
        <color theme="1"/>
        <rFont val="Aptos Narrow"/>
        <family val="2"/>
        <scheme val="minor"/>
      </rPr>
      <t>19 July 2027</t>
    </r>
  </si>
  <si>
    <r>
      <t xml:space="preserve">Monday </t>
    </r>
    <r>
      <rPr>
        <b/>
        <sz val="11"/>
        <color theme="1"/>
        <rFont val="Aptos Narrow"/>
        <family val="2"/>
        <scheme val="minor"/>
      </rPr>
      <t>26 July 2027</t>
    </r>
  </si>
  <si>
    <r>
      <t xml:space="preserve">Monday </t>
    </r>
    <r>
      <rPr>
        <b/>
        <sz val="11"/>
        <color theme="1"/>
        <rFont val="Aptos Narrow"/>
        <family val="2"/>
        <scheme val="minor"/>
      </rPr>
      <t>2 August 2027</t>
    </r>
  </si>
  <si>
    <r>
      <t xml:space="preserve">Monday </t>
    </r>
    <r>
      <rPr>
        <b/>
        <sz val="11"/>
        <color theme="1"/>
        <rFont val="Aptos Narrow"/>
        <family val="2"/>
        <scheme val="minor"/>
      </rPr>
      <t>9 August 2027</t>
    </r>
  </si>
  <si>
    <r>
      <t xml:space="preserve">Monday </t>
    </r>
    <r>
      <rPr>
        <b/>
        <sz val="11"/>
        <color theme="1"/>
        <rFont val="Aptos Narrow"/>
        <family val="2"/>
        <scheme val="minor"/>
      </rPr>
      <t>16 August 2027</t>
    </r>
  </si>
  <si>
    <r>
      <t xml:space="preserve">Monday </t>
    </r>
    <r>
      <rPr>
        <b/>
        <sz val="11"/>
        <color theme="1"/>
        <rFont val="Aptos Narrow"/>
        <family val="2"/>
        <scheme val="minor"/>
      </rPr>
      <t>23 August 2027</t>
    </r>
  </si>
  <si>
    <r>
      <t xml:space="preserve">Monday </t>
    </r>
    <r>
      <rPr>
        <b/>
        <sz val="11"/>
        <color theme="1"/>
        <rFont val="Aptos Narrow"/>
        <family val="2"/>
        <scheme val="minor"/>
      </rPr>
      <t>30 August 2027</t>
    </r>
  </si>
  <si>
    <r>
      <t xml:space="preserve">Monday </t>
    </r>
    <r>
      <rPr>
        <b/>
        <sz val="11"/>
        <color theme="1"/>
        <rFont val="Aptos Narrow"/>
        <family val="2"/>
        <scheme val="minor"/>
      </rPr>
      <t>6 September 2027</t>
    </r>
  </si>
  <si>
    <r>
      <t xml:space="preserve">Monday </t>
    </r>
    <r>
      <rPr>
        <b/>
        <sz val="11"/>
        <color theme="1"/>
        <rFont val="Aptos Narrow"/>
        <family val="2"/>
        <scheme val="minor"/>
      </rPr>
      <t>13 September 2027</t>
    </r>
  </si>
  <si>
    <r>
      <t xml:space="preserve">Monday </t>
    </r>
    <r>
      <rPr>
        <b/>
        <sz val="11"/>
        <color theme="1"/>
        <rFont val="Aptos Narrow"/>
        <family val="2"/>
        <scheme val="minor"/>
      </rPr>
      <t>20 September 2027</t>
    </r>
  </si>
  <si>
    <r>
      <t xml:space="preserve">Monday </t>
    </r>
    <r>
      <rPr>
        <b/>
        <sz val="11"/>
        <color theme="1"/>
        <rFont val="Aptos Narrow"/>
        <family val="2"/>
        <scheme val="minor"/>
      </rPr>
      <t>27 September 2027</t>
    </r>
  </si>
  <si>
    <r>
      <t xml:space="preserve">Monday </t>
    </r>
    <r>
      <rPr>
        <b/>
        <sz val="11"/>
        <color theme="1"/>
        <rFont val="Aptos Narrow"/>
        <family val="2"/>
        <scheme val="minor"/>
      </rPr>
      <t>4 October 2027</t>
    </r>
  </si>
  <si>
    <r>
      <t xml:space="preserve">Monday </t>
    </r>
    <r>
      <rPr>
        <b/>
        <sz val="11"/>
        <color theme="1"/>
        <rFont val="Aptos Narrow"/>
        <family val="2"/>
        <scheme val="minor"/>
      </rPr>
      <t>11 October 2027</t>
    </r>
  </si>
  <si>
    <r>
      <t xml:space="preserve">Monday </t>
    </r>
    <r>
      <rPr>
        <b/>
        <sz val="11"/>
        <color theme="1"/>
        <rFont val="Aptos Narrow"/>
        <family val="2"/>
        <scheme val="minor"/>
      </rPr>
      <t>18 October 2027</t>
    </r>
  </si>
  <si>
    <r>
      <t xml:space="preserve">Monday </t>
    </r>
    <r>
      <rPr>
        <b/>
        <sz val="11"/>
        <color theme="1"/>
        <rFont val="Aptos Narrow"/>
        <family val="2"/>
        <scheme val="minor"/>
      </rPr>
      <t>25 October 2027</t>
    </r>
  </si>
  <si>
    <r>
      <t xml:space="preserve">Monday </t>
    </r>
    <r>
      <rPr>
        <b/>
        <sz val="11"/>
        <color theme="1"/>
        <rFont val="Aptos Narrow"/>
        <family val="2"/>
        <scheme val="minor"/>
      </rPr>
      <t>1 November 2027</t>
    </r>
  </si>
  <si>
    <r>
      <t xml:space="preserve">Monday </t>
    </r>
    <r>
      <rPr>
        <b/>
        <sz val="11"/>
        <color theme="1"/>
        <rFont val="Aptos Narrow"/>
        <family val="2"/>
        <scheme val="minor"/>
      </rPr>
      <t>8 November 2027</t>
    </r>
  </si>
  <si>
    <r>
      <t xml:space="preserve">Monday </t>
    </r>
    <r>
      <rPr>
        <b/>
        <sz val="11"/>
        <color theme="1"/>
        <rFont val="Aptos Narrow"/>
        <family val="2"/>
        <scheme val="minor"/>
      </rPr>
      <t>15 November 2027</t>
    </r>
  </si>
  <si>
    <r>
      <t xml:space="preserve">Monday </t>
    </r>
    <r>
      <rPr>
        <b/>
        <sz val="11"/>
        <color theme="1"/>
        <rFont val="Aptos Narrow"/>
        <family val="2"/>
        <scheme val="minor"/>
      </rPr>
      <t>22 November 2027</t>
    </r>
  </si>
  <si>
    <r>
      <t xml:space="preserve">Monday </t>
    </r>
    <r>
      <rPr>
        <b/>
        <sz val="11"/>
        <color theme="1"/>
        <rFont val="Aptos Narrow"/>
        <family val="2"/>
        <scheme val="minor"/>
      </rPr>
      <t>29 November 2027</t>
    </r>
  </si>
  <si>
    <r>
      <t xml:space="preserve">Monday </t>
    </r>
    <r>
      <rPr>
        <b/>
        <sz val="11"/>
        <color theme="1"/>
        <rFont val="Aptos Narrow"/>
        <family val="2"/>
        <scheme val="minor"/>
      </rPr>
      <t>6 December 2027</t>
    </r>
  </si>
  <si>
    <r>
      <t xml:space="preserve">Monday </t>
    </r>
    <r>
      <rPr>
        <b/>
        <sz val="11"/>
        <color theme="1"/>
        <rFont val="Aptos Narrow"/>
        <family val="2"/>
        <scheme val="minor"/>
      </rPr>
      <t>13 December 2027</t>
    </r>
  </si>
  <si>
    <r>
      <t xml:space="preserve">Monday </t>
    </r>
    <r>
      <rPr>
        <b/>
        <sz val="11"/>
        <color theme="1"/>
        <rFont val="Aptos Narrow"/>
        <family val="2"/>
        <scheme val="minor"/>
      </rPr>
      <t>20 December 2027</t>
    </r>
  </si>
  <si>
    <t>Voici le prompt que j'ai tapé pour determiner les variables Date1 et Date2.</t>
  </si>
  <si>
    <t>Je veux que tu analyse les tableaux de T1-2025 suivant et me dise a quoi sert Date1 et Date2. Mais en guise d'indice, sur les 13 semaine qui compose le T1-2025, nous avons essayer de definir des date telle que 2 semaine forme un groupe de durée encadré par Date1 et Dat2.
Date1 et Date 2 represente :
Date1 : est le jour de dimanche qui precedde le lundi de la semaine 1
Date2 : est le jour de dimanche qui precedde le lundi de la semaine 2
Mais pour rappelle :
les ). 
Mais la semaine 13 , on simule la date d'une 14ieme semaine (qui est le lundi de la 1ere semaine du 1er mois du trimestre prochain; et nous prenons le dimanche de cette qui precede le lundi de cette 14ieme semaine du trimestre prochain pour constitue la Date1 et Date2 de la semaine 13) 
DateJ7	Date1	Date2
Monday 30 December 2024	05/01/2025	12/01/2025
Monday 6 January 2025	05/01/2025	12/01/2025
Monday 13 January 2025	19/01/2025	26/01/2025
Monday 20 January 2025	19/01/2025	26/01/2025
Monday 27 January 2025	02/02/2025	09/02/2025
Monday 3 February 2025	02/02/2025	09/02/2025
Monday 10 February 2025	16/02/2025	23/02/2025
Monday 17 February 2025	16/02/2025	23/02/2025
Monday 24 February 2025	02/03/2025	09/03/2025
Monday 3 March 2025	02/03/2025	09/03/2025
Monday 10 March 2025	16/03/2025	23/03/2025
Monday 17 March 2025	16/03/2025	23/03/2025
Monday 24 March 2025	30/03/2025	30/03/2025</t>
  </si>
  <si>
    <t xml:space="preserve">ABIDJAN  </t>
  </si>
  <si>
    <t xml:space="preserve">AGNEBY-TIASSA  </t>
  </si>
  <si>
    <t xml:space="preserve">BAFING  </t>
  </si>
  <si>
    <t xml:space="preserve">BAGOUE  </t>
  </si>
  <si>
    <t xml:space="preserve">BELIER  </t>
  </si>
  <si>
    <t xml:space="preserve">BERE  </t>
  </si>
  <si>
    <t xml:space="preserve">BOUNKANI  </t>
  </si>
  <si>
    <t xml:space="preserve">CAVALLY  </t>
  </si>
  <si>
    <t xml:space="preserve">FOLON  </t>
  </si>
  <si>
    <t xml:space="preserve">GBEKE  </t>
  </si>
  <si>
    <t xml:space="preserve">GBOKLE  </t>
  </si>
  <si>
    <t xml:space="preserve">GÔH  </t>
  </si>
  <si>
    <t xml:space="preserve">GONTOUGO  </t>
  </si>
  <si>
    <t xml:space="preserve">GRAND-PONTS  </t>
  </si>
  <si>
    <t xml:space="preserve">GUEMON  </t>
  </si>
  <si>
    <t xml:space="preserve">HAMBOL  </t>
  </si>
  <si>
    <t xml:space="preserve">HAUT-SASSANDRA  </t>
  </si>
  <si>
    <t xml:space="preserve">IFFOU  </t>
  </si>
  <si>
    <t>INDENIE-DJUABLIN</t>
  </si>
  <si>
    <t xml:space="preserve">KABADOUGOU  </t>
  </si>
  <si>
    <t xml:space="preserve">LA ME  </t>
  </si>
  <si>
    <t xml:space="preserve">LÔH-DJIBOUA  </t>
  </si>
  <si>
    <t xml:space="preserve">MARAHOUE  </t>
  </si>
  <si>
    <t xml:space="preserve">MORONOU  </t>
  </si>
  <si>
    <t xml:space="preserve">NAWA  </t>
  </si>
  <si>
    <t xml:space="preserve">N'ZI  </t>
  </si>
  <si>
    <t xml:space="preserve">PORO  </t>
  </si>
  <si>
    <t xml:space="preserve">SAN-PEDRO  </t>
  </si>
  <si>
    <t xml:space="preserve">SUD-COMOE  </t>
  </si>
  <si>
    <t xml:space="preserve">TCHOLOGO  </t>
  </si>
  <si>
    <t xml:space="preserve">TONKPI  </t>
  </si>
  <si>
    <t xml:space="preserve">WORODOUGOU  </t>
  </si>
  <si>
    <t xml:space="preserve">YAMOUSSOUKRO  </t>
  </si>
  <si>
    <t>HH2</t>
  </si>
  <si>
    <t>label_HH2</t>
  </si>
  <si>
    <t>STXT(B2;4;NBCAR(B2)-3)</t>
  </si>
  <si>
    <t xml:space="preserve">	AUTONOME D'ABIDJAN   </t>
  </si>
  <si>
    <t xml:space="preserve">	AUTONOME DE YAMOUSSOUKRO	  </t>
  </si>
  <si>
    <t xml:space="preserve">	BAS-SASSANDRA   </t>
  </si>
  <si>
    <t xml:space="preserve">	COMOE   </t>
  </si>
  <si>
    <t xml:space="preserve">	DENGUELE   </t>
  </si>
  <si>
    <t xml:space="preserve">	GOH-DJIBOUA   </t>
  </si>
  <si>
    <t xml:space="preserve">	SASSANDRA-MARAHOUE   </t>
  </si>
  <si>
    <t xml:space="preserve">	LACS   </t>
  </si>
  <si>
    <t xml:space="preserve">	LAGUNES   </t>
  </si>
  <si>
    <t xml:space="preserve">	MONTAGNES   </t>
  </si>
  <si>
    <t xml:space="preserve">	SAVANES   </t>
  </si>
  <si>
    <t xml:space="preserve">	VALLEE DU BANDAMA   </t>
  </si>
  <si>
    <t xml:space="preserve">	WOROBA   </t>
  </si>
  <si>
    <t xml:space="preserve">	ZANZAN   </t>
  </si>
  <si>
    <t>101</t>
  </si>
  <si>
    <t>102</t>
  </si>
  <si>
    <t>103</t>
  </si>
  <si>
    <t>104</t>
  </si>
  <si>
    <t>105</t>
  </si>
  <si>
    <t>106</t>
  </si>
  <si>
    <t>107</t>
  </si>
  <si>
    <t>108</t>
  </si>
  <si>
    <t>109</t>
  </si>
  <si>
    <t>110</t>
  </si>
  <si>
    <t>111</t>
  </si>
  <si>
    <t>112</t>
  </si>
  <si>
    <t>113</t>
  </si>
  <si>
    <t>114</t>
  </si>
  <si>
    <t>HH1</t>
  </si>
  <si>
    <t>label_HH1</t>
  </si>
  <si>
    <t xml:space="preserve">. </t>
  </si>
  <si>
    <t xml:space="preserve">	10101002</t>
  </si>
  <si>
    <t xml:space="preserve"> ABIDJAN  </t>
  </si>
  <si>
    <t xml:space="preserve">	10207049</t>
  </si>
  <si>
    <t xml:space="preserve"> YAMOUSSOUKRO  </t>
  </si>
  <si>
    <t xml:space="preserve">	10207072</t>
  </si>
  <si>
    <t xml:space="preserve"> ATTIEGOUAKRO  </t>
  </si>
  <si>
    <t xml:space="preserve">	10309037</t>
  </si>
  <si>
    <t xml:space="preserve"> SAN-PEDRO  </t>
  </si>
  <si>
    <t xml:space="preserve">	10309042</t>
  </si>
  <si>
    <t xml:space="preserve"> TABOU  </t>
  </si>
  <si>
    <t xml:space="preserve">	10325038</t>
  </si>
  <si>
    <t xml:space="preserve"> SASSANDRA  </t>
  </si>
  <si>
    <t xml:space="preserve">	10325077</t>
  </si>
  <si>
    <t xml:space="preserve"> FRESCO  </t>
  </si>
  <si>
    <t xml:space="preserve">	10331041</t>
  </si>
  <si>
    <t xml:space="preserve"> SOUBRE  </t>
  </si>
  <si>
    <t xml:space="preserve">	10331078</t>
  </si>
  <si>
    <t xml:space="preserve"> GUEYO  </t>
  </si>
  <si>
    <t xml:space="preserve">	10331096</t>
  </si>
  <si>
    <t xml:space="preserve"> BUYO  </t>
  </si>
  <si>
    <t xml:space="preserve">	10331104</t>
  </si>
  <si>
    <t xml:space="preserve"> MEAGUI  </t>
  </si>
  <si>
    <t xml:space="preserve">	10405001</t>
  </si>
  <si>
    <t xml:space="preserve"> ABENGOUROU  </t>
  </si>
  <si>
    <t xml:space="preserve">	10405006</t>
  </si>
  <si>
    <t xml:space="preserve"> AGNIBILEKROU  </t>
  </si>
  <si>
    <t xml:space="preserve">	10405073</t>
  </si>
  <si>
    <t xml:space="preserve"> BETTIE  </t>
  </si>
  <si>
    <t xml:space="preserve">	10413003</t>
  </si>
  <si>
    <t xml:space="preserve"> ABOISSO  </t>
  </si>
  <si>
    <t xml:space="preserve">	10413051</t>
  </si>
  <si>
    <t xml:space="preserve"> ADIAKE  </t>
  </si>
  <si>
    <t xml:space="preserve">	10413055</t>
  </si>
  <si>
    <t xml:space="preserve"> GRAND-BASSAM  </t>
  </si>
  <si>
    <t xml:space="preserve">	10413092</t>
  </si>
  <si>
    <t xml:space="preserve"> TIAPOUM  </t>
  </si>
  <si>
    <t xml:space="preserve">	10510034</t>
  </si>
  <si>
    <t xml:space="preserve"> ODIENNE  </t>
  </si>
  <si>
    <t xml:space="preserve">	10510067</t>
  </si>
  <si>
    <t xml:space="preserve"> MADINANI  </t>
  </si>
  <si>
    <t xml:space="preserve">	10510088</t>
  </si>
  <si>
    <t xml:space="preserve"> SAMATIGUILA  </t>
  </si>
  <si>
    <t xml:space="preserve">	10510100</t>
  </si>
  <si>
    <t xml:space="preserve"> GBELEBAN  </t>
  </si>
  <si>
    <t xml:space="preserve">	10510105</t>
  </si>
  <si>
    <t xml:space="preserve"> SEGUELON  </t>
  </si>
  <si>
    <t xml:space="preserve">	10524068</t>
  </si>
  <si>
    <t xml:space="preserve"> MINIGNAN  </t>
  </si>
  <si>
    <t xml:space="preserve">	10524081</t>
  </si>
  <si>
    <t xml:space="preserve"> KANIASSO  </t>
  </si>
  <si>
    <t xml:space="preserve">	10615021</t>
  </si>
  <si>
    <t xml:space="preserve"> DIVO  </t>
  </si>
  <si>
    <t xml:space="preserve">	10615030</t>
  </si>
  <si>
    <t xml:space="preserve"> LAKOTA  </t>
  </si>
  <si>
    <t xml:space="preserve">	10615079</t>
  </si>
  <si>
    <t xml:space="preserve"> GUITRY  </t>
  </si>
  <si>
    <t xml:space="preserve">	10617024</t>
  </si>
  <si>
    <t xml:space="preserve"> GAGNOA  </t>
  </si>
  <si>
    <t xml:space="preserve">	10617035</t>
  </si>
  <si>
    <t xml:space="preserve"> OUME  </t>
  </si>
  <si>
    <t xml:space="preserve">	10702017</t>
  </si>
  <si>
    <t xml:space="preserve"> DALOA  </t>
  </si>
  <si>
    <t xml:space="preserve">	10702027</t>
  </si>
  <si>
    <t xml:space="preserve"> ISSIA  </t>
  </si>
  <si>
    <t xml:space="preserve">	10702048</t>
  </si>
  <si>
    <t xml:space="preserve"> VAVOUA  </t>
  </si>
  <si>
    <t xml:space="preserve">	10702095</t>
  </si>
  <si>
    <t xml:space="preserve"> ZOUKOUGBEU  </t>
  </si>
  <si>
    <t xml:space="preserve">	10712012</t>
  </si>
  <si>
    <t xml:space="preserve"> BOUAFLE  </t>
  </si>
  <si>
    <t xml:space="preserve">	10712040</t>
  </si>
  <si>
    <t xml:space="preserve"> SINFRA  </t>
  </si>
  <si>
    <t xml:space="preserve">	10712050</t>
  </si>
  <si>
    <t xml:space="preserve"> ZUENOULA  </t>
  </si>
  <si>
    <t xml:space="preserve">	10712109</t>
  </si>
  <si>
    <t xml:space="preserve"> BONON  </t>
  </si>
  <si>
    <t xml:space="preserve">	10712110</t>
  </si>
  <si>
    <t xml:space="preserve"> GOHITAFLA  </t>
  </si>
  <si>
    <t xml:space="preserve">	10811020</t>
  </si>
  <si>
    <t xml:space="preserve"> DIMBOKRO  </t>
  </si>
  <si>
    <t xml:space="preserve">	10811053</t>
  </si>
  <si>
    <t xml:space="preserve"> BOCANDA  </t>
  </si>
  <si>
    <t xml:space="preserve">	10811102</t>
  </si>
  <si>
    <t xml:space="preserve"> KOUASSI-KOUASSIKRO	 </t>
  </si>
  <si>
    <t xml:space="preserve">	10821047</t>
  </si>
  <si>
    <t xml:space="preserve"> TOUMODI  </t>
  </si>
  <si>
    <t xml:space="preserve">	10821057</t>
  </si>
  <si>
    <t xml:space="preserve"> TIEBISSOU  </t>
  </si>
  <si>
    <t xml:space="preserve">	10821061</t>
  </si>
  <si>
    <t xml:space="preserve"> DIDIEVI  </t>
  </si>
  <si>
    <t xml:space="preserve">	10821098</t>
  </si>
  <si>
    <t xml:space="preserve"> DJEKANOU  </t>
  </si>
  <si>
    <t xml:space="preserve">	10829019</t>
  </si>
  <si>
    <t xml:space="preserve"> DAOUKRO  </t>
  </si>
  <si>
    <t xml:space="preserve">	10829033</t>
  </si>
  <si>
    <t xml:space="preserve"> M'BAHIAKRO  </t>
  </si>
  <si>
    <t xml:space="preserve">	10829064</t>
  </si>
  <si>
    <t xml:space="preserve"> PRIKRO  </t>
  </si>
  <si>
    <t xml:space="preserve">	10829111</t>
  </si>
  <si>
    <t xml:space="preserve"> OUELLE  </t>
  </si>
  <si>
    <t xml:space="preserve">	10833011</t>
  </si>
  <si>
    <t xml:space="preserve"> BONGOUANOU  </t>
  </si>
  <si>
    <t xml:space="preserve">	10833071</t>
  </si>
  <si>
    <t xml:space="preserve"> ARRAH  </t>
  </si>
  <si>
    <t xml:space="preserve">	10833084</t>
  </si>
  <si>
    <t xml:space="preserve"> M'BATTO  </t>
  </si>
  <si>
    <t xml:space="preserve">	10916005</t>
  </si>
  <si>
    <t xml:space="preserve"> AGBOVILLE  </t>
  </si>
  <si>
    <t xml:space="preserve">	10916045</t>
  </si>
  <si>
    <t xml:space="preserve"> TIASSALE  </t>
  </si>
  <si>
    <t xml:space="preserve">	10916065</t>
  </si>
  <si>
    <t xml:space="preserve"> SIKENSI  </t>
  </si>
  <si>
    <t xml:space="preserve">	10916107</t>
  </si>
  <si>
    <t xml:space="preserve"> TAABO  </t>
  </si>
  <si>
    <t xml:space="preserve">	10926025</t>
  </si>
  <si>
    <t xml:space="preserve"> GRAND-LAHOU  </t>
  </si>
  <si>
    <t xml:space="preserve">	10926054</t>
  </si>
  <si>
    <t xml:space="preserve"> DABOU  </t>
  </si>
  <si>
    <t xml:space="preserve">	10926056</t>
  </si>
  <si>
    <t xml:space="preserve"> JACQUEVILLE  </t>
  </si>
  <si>
    <t xml:space="preserve">	10930004</t>
  </si>
  <si>
    <t xml:space="preserve"> ADZOPE  </t>
  </si>
  <si>
    <t xml:space="preserve">	10930052</t>
  </si>
  <si>
    <t xml:space="preserve"> ALEPE  </t>
  </si>
  <si>
    <t xml:space="preserve">	10930060</t>
  </si>
  <si>
    <t xml:space="preserve"> AKOUPE  </t>
  </si>
  <si>
    <t xml:space="preserve">	10930094</t>
  </si>
  <si>
    <t xml:space="preserve"> YAKASSE-ATTOBROU  </t>
  </si>
  <si>
    <t xml:space="preserve">	11006009</t>
  </si>
  <si>
    <t xml:space="preserve"> BIANKOUMA  </t>
  </si>
  <si>
    <t xml:space="preserve">	11006018</t>
  </si>
  <si>
    <t xml:space="preserve"> DANANE  </t>
  </si>
  <si>
    <t xml:space="preserve">	11006031</t>
  </si>
  <si>
    <t xml:space="preserve"> MAN  </t>
  </si>
  <si>
    <t xml:space="preserve">	11006066</t>
  </si>
  <si>
    <t xml:space="preserve"> ZOUAN-HOUNIEN  </t>
  </si>
  <si>
    <t xml:space="preserve">	11006106</t>
  </si>
  <si>
    <t xml:space="preserve"> SIPILOU  </t>
  </si>
  <si>
    <t xml:space="preserve">	11018026</t>
  </si>
  <si>
    <t xml:space="preserve"> GUIGLO  </t>
  </si>
  <si>
    <t xml:space="preserve">	11018058</t>
  </si>
  <si>
    <t xml:space="preserve"> TOULEPLEU  </t>
  </si>
  <si>
    <t xml:space="preserve">	11018059</t>
  </si>
  <si>
    <t xml:space="preserve"> BLOLEQUIN  </t>
  </si>
  <si>
    <t xml:space="preserve">	11018108</t>
  </si>
  <si>
    <t xml:space="preserve"> TAI  </t>
  </si>
  <si>
    <t xml:space="preserve">	11027007</t>
  </si>
  <si>
    <t xml:space="preserve"> BANGOLO  </t>
  </si>
  <si>
    <t xml:space="preserve">	11027022</t>
  </si>
  <si>
    <t xml:space="preserve"> DUEKOUE  </t>
  </si>
  <si>
    <t xml:space="preserve">	11027062</t>
  </si>
  <si>
    <t xml:space="preserve"> KOUIBLY  </t>
  </si>
  <si>
    <t xml:space="preserve">	11027099</t>
  </si>
  <si>
    <t xml:space="preserve"> FACOBLY  </t>
  </si>
  <si>
    <t xml:space="preserve">	11103029</t>
  </si>
  <si>
    <t xml:space="preserve"> KORHOGO  </t>
  </si>
  <si>
    <t xml:space="preserve">	11103075</t>
  </si>
  <si>
    <t xml:space="preserve"> DIKODOUGOU  </t>
  </si>
  <si>
    <t xml:space="preserve">	11103090</t>
  </si>
  <si>
    <t xml:space="preserve"> SINEMATIALI  </t>
  </si>
  <si>
    <t xml:space="preserve">	11103103</t>
  </si>
  <si>
    <t xml:space="preserve"> M'BENGUE  </t>
  </si>
  <si>
    <t xml:space="preserve">	11120015</t>
  </si>
  <si>
    <t xml:space="preserve"> BOUNDIALI  </t>
  </si>
  <si>
    <t xml:space="preserve">	11120044</t>
  </si>
  <si>
    <t xml:space="preserve"> TENGRELA  </t>
  </si>
  <si>
    <t xml:space="preserve">	11120083</t>
  </si>
  <si>
    <t xml:space="preserve"> KOUTO  </t>
  </si>
  <si>
    <t xml:space="preserve">	11132023</t>
  </si>
  <si>
    <t xml:space="preserve"> FERKESSEDOUGOU  </t>
  </si>
  <si>
    <t xml:space="preserve">	11132086</t>
  </si>
  <si>
    <t xml:space="preserve"> OUANGOLODOUGOU  </t>
  </si>
  <si>
    <t xml:space="preserve">	11132101</t>
  </si>
  <si>
    <t xml:space="preserve"> KONG  </t>
  </si>
  <si>
    <t xml:space="preserve">	11204008</t>
  </si>
  <si>
    <t xml:space="preserve"> BEOUMI  </t>
  </si>
  <si>
    <t xml:space="preserve">	11204013</t>
  </si>
  <si>
    <t xml:space="preserve"> BOUAKE  </t>
  </si>
  <si>
    <t xml:space="preserve">	11204036</t>
  </si>
  <si>
    <t xml:space="preserve"> SAKASSOU  </t>
  </si>
  <si>
    <t xml:space="preserve">	11204074</t>
  </si>
  <si>
    <t xml:space="preserve"> BOTRO  </t>
  </si>
  <si>
    <t xml:space="preserve">	11228016</t>
  </si>
  <si>
    <t xml:space="preserve"> DABAKALA  </t>
  </si>
  <si>
    <t xml:space="preserve">	11228028</t>
  </si>
  <si>
    <t xml:space="preserve"> KATIOLA  </t>
  </si>
  <si>
    <t xml:space="preserve">	11228085</t>
  </si>
  <si>
    <t xml:space="preserve"> NIAKARAMADOUGOU  </t>
  </si>
  <si>
    <t xml:space="preserve">	11314039</t>
  </si>
  <si>
    <t xml:space="preserve"> SEGUELA  </t>
  </si>
  <si>
    <t xml:space="preserve">	11314080</t>
  </si>
  <si>
    <t xml:space="preserve"> KANI  </t>
  </si>
  <si>
    <t xml:space="preserve">	11319046</t>
  </si>
  <si>
    <t xml:space="preserve"> TOUBA  </t>
  </si>
  <si>
    <t xml:space="preserve">	11319082</t>
  </si>
  <si>
    <t xml:space="preserve"> KORO  </t>
  </si>
  <si>
    <t xml:space="preserve">	11319087</t>
  </si>
  <si>
    <t xml:space="preserve"> OUANINOU  </t>
  </si>
  <si>
    <t xml:space="preserve">	11322032</t>
  </si>
  <si>
    <t xml:space="preserve"> MANKONO  </t>
  </si>
  <si>
    <t xml:space="preserve">	11322069</t>
  </si>
  <si>
    <t xml:space="preserve"> KOUNAHIRI  </t>
  </si>
  <si>
    <t xml:space="preserve">	11322097</t>
  </si>
  <si>
    <t xml:space="preserve"> DIANRA  </t>
  </si>
  <si>
    <t xml:space="preserve">	11408010</t>
  </si>
  <si>
    <t xml:space="preserve"> BONDOUKOU  </t>
  </si>
  <si>
    <t xml:space="preserve">	11408043</t>
  </si>
  <si>
    <t xml:space="preserve"> TANDA  </t>
  </si>
  <si>
    <t xml:space="preserve">	11408070</t>
  </si>
  <si>
    <t xml:space="preserve"> KOUN-FAO  </t>
  </si>
  <si>
    <t xml:space="preserve">	11408089</t>
  </si>
  <si>
    <t xml:space="preserve"> SANDEGUE  </t>
  </si>
  <si>
    <t xml:space="preserve">	11408093</t>
  </si>
  <si>
    <t xml:space="preserve"> TRANSUA  </t>
  </si>
  <si>
    <t xml:space="preserve">	11423014</t>
  </si>
  <si>
    <t xml:space="preserve"> BOUNA  </t>
  </si>
  <si>
    <t xml:space="preserve">	11423063</t>
  </si>
  <si>
    <t xml:space="preserve"> NASSIAN  </t>
  </si>
  <si>
    <t xml:space="preserve">	11423076</t>
  </si>
  <si>
    <t xml:space="preserve"> DOROPO  </t>
  </si>
  <si>
    <t xml:space="preserve">	11423091</t>
  </si>
  <si>
    <t xml:space="preserve"> TEHINI  </t>
  </si>
  <si>
    <t>HH3</t>
  </si>
  <si>
    <t>label_HH3</t>
  </si>
  <si>
    <t>1010100202</t>
  </si>
  <si>
    <t xml:space="preserve"> ANYAMA  </t>
  </si>
  <si>
    <t>1010100203</t>
  </si>
  <si>
    <t xml:space="preserve"> BINGERVILLE  </t>
  </si>
  <si>
    <t>1010100204</t>
  </si>
  <si>
    <t xml:space="preserve"> BROFODOUME  </t>
  </si>
  <si>
    <t>1010100205</t>
  </si>
  <si>
    <t xml:space="preserve"> SONGON  </t>
  </si>
  <si>
    <t>1010100211</t>
  </si>
  <si>
    <t xml:space="preserve"> ABOBO  </t>
  </si>
  <si>
    <t>1010100212</t>
  </si>
  <si>
    <t xml:space="preserve"> ADJAME  </t>
  </si>
  <si>
    <t>1010100213</t>
  </si>
  <si>
    <t xml:space="preserve"> ATTECOUBE  </t>
  </si>
  <si>
    <t>1010100214</t>
  </si>
  <si>
    <t xml:space="preserve"> COCODY  </t>
  </si>
  <si>
    <t>1010100215</t>
  </si>
  <si>
    <t xml:space="preserve"> KOUMASSI  </t>
  </si>
  <si>
    <t>1010100216</t>
  </si>
  <si>
    <t xml:space="preserve"> MARCORY  </t>
  </si>
  <si>
    <t>1010100217</t>
  </si>
  <si>
    <t xml:space="preserve"> PLATEAU  </t>
  </si>
  <si>
    <t>1010100218</t>
  </si>
  <si>
    <t xml:space="preserve"> PORT-BOUET  </t>
  </si>
  <si>
    <t>1010100219</t>
  </si>
  <si>
    <t xml:space="preserve"> TREICHVILLE  </t>
  </si>
  <si>
    <t>1010100220</t>
  </si>
  <si>
    <t xml:space="preserve"> YOPOUGON  </t>
  </si>
  <si>
    <t>1020704901</t>
  </si>
  <si>
    <t xml:space="preserve"> KOSSOU  </t>
  </si>
  <si>
    <t>1020704902</t>
  </si>
  <si>
    <t>1020707201</t>
  </si>
  <si>
    <t>1020707202</t>
  </si>
  <si>
    <t xml:space="preserve"> LOLOBO (DE ATTIEGOUAKRO)  </t>
  </si>
  <si>
    <t>1030903701</t>
  </si>
  <si>
    <t xml:space="preserve"> DOBA  </t>
  </si>
  <si>
    <t>1030903702</t>
  </si>
  <si>
    <t xml:space="preserve"> DOGBO  </t>
  </si>
  <si>
    <t>1030903703</t>
  </si>
  <si>
    <t xml:space="preserve"> GABIADJI  </t>
  </si>
  <si>
    <t>1030903704</t>
  </si>
  <si>
    <t xml:space="preserve"> GRAND-BEREBY  </t>
  </si>
  <si>
    <t>1030903705</t>
  </si>
  <si>
    <t>1030904201</t>
  </si>
  <si>
    <t xml:space="preserve"> DAPO-IBOKE  </t>
  </si>
  <si>
    <t>1030904202</t>
  </si>
  <si>
    <t xml:space="preserve"> DJAMANDIOKE  </t>
  </si>
  <si>
    <t>1030904203</t>
  </si>
  <si>
    <t xml:space="preserve"> DJOUROUTOU  </t>
  </si>
  <si>
    <t>1030904204</t>
  </si>
  <si>
    <t xml:space="preserve"> GRABO  </t>
  </si>
  <si>
    <t>1030904205</t>
  </si>
  <si>
    <t xml:space="preserve"> OLODIO  </t>
  </si>
  <si>
    <t>1030904206</t>
  </si>
  <si>
    <t>1032503801</t>
  </si>
  <si>
    <t xml:space="preserve"> DAKPADOU  </t>
  </si>
  <si>
    <t>1032503802</t>
  </si>
  <si>
    <t xml:space="preserve"> GRIHIRI  </t>
  </si>
  <si>
    <t>1032503803</t>
  </si>
  <si>
    <t xml:space="preserve"> LOBAKUYA  </t>
  </si>
  <si>
    <t>1032503804</t>
  </si>
  <si>
    <t xml:space="preserve"> MEDON  </t>
  </si>
  <si>
    <t>1032503805</t>
  </si>
  <si>
    <t xml:space="preserve"> SAGO  </t>
  </si>
  <si>
    <t>1032503806</t>
  </si>
  <si>
    <t>1032507701</t>
  </si>
  <si>
    <t xml:space="preserve"> DAHIRI  </t>
  </si>
  <si>
    <t>1032507702</t>
  </si>
  <si>
    <t>1032507703</t>
  </si>
  <si>
    <t xml:space="preserve"> GBAGBAM  </t>
  </si>
  <si>
    <t>1033104101</t>
  </si>
  <si>
    <t xml:space="preserve"> GRAND-ZATTRY  </t>
  </si>
  <si>
    <t>1033104102</t>
  </si>
  <si>
    <t xml:space="preserve"> LILIYO  </t>
  </si>
  <si>
    <t>1033104103</t>
  </si>
  <si>
    <t xml:space="preserve"> OKROUYO  </t>
  </si>
  <si>
    <t>1033104104</t>
  </si>
  <si>
    <t>1033107801</t>
  </si>
  <si>
    <t xml:space="preserve"> DABOUYO  </t>
  </si>
  <si>
    <t>1033107802</t>
  </si>
  <si>
    <t>1033109601</t>
  </si>
  <si>
    <t>1033109602</t>
  </si>
  <si>
    <t xml:space="preserve"> DAPEOUA  </t>
  </si>
  <si>
    <t>1033110401</t>
  </si>
  <si>
    <t xml:space="preserve"> GNAMANGUI  </t>
  </si>
  <si>
    <t>1033110402</t>
  </si>
  <si>
    <t>1033110403</t>
  </si>
  <si>
    <t xml:space="preserve"> OUPOYO  </t>
  </si>
  <si>
    <t>1040500101</t>
  </si>
  <si>
    <t>1040500102</t>
  </si>
  <si>
    <t xml:space="preserve"> AMELEKIA  </t>
  </si>
  <si>
    <t>1040500103</t>
  </si>
  <si>
    <t xml:space="preserve"> ANIASSUE  </t>
  </si>
  <si>
    <t>1040500104</t>
  </si>
  <si>
    <t xml:space="preserve"> EBILASSOKRO  </t>
  </si>
  <si>
    <t>1040500105</t>
  </si>
  <si>
    <t xml:space="preserve"> NIABLE  </t>
  </si>
  <si>
    <t>1040500106</t>
  </si>
  <si>
    <t xml:space="preserve"> YAKASSE-FEYASSE  </t>
  </si>
  <si>
    <t>1040500107</t>
  </si>
  <si>
    <t xml:space="preserve"> ZARANOU  </t>
  </si>
  <si>
    <t>1040500601</t>
  </si>
  <si>
    <t>1040500602</t>
  </si>
  <si>
    <t xml:space="preserve"> AKOBOISSUE  </t>
  </si>
  <si>
    <t>1040500603</t>
  </si>
  <si>
    <t xml:space="preserve"> DAME  </t>
  </si>
  <si>
    <t>1040500604</t>
  </si>
  <si>
    <t xml:space="preserve"> DUFFREBO  </t>
  </si>
  <si>
    <t>1040500605</t>
  </si>
  <si>
    <t xml:space="preserve"> TANGUELAN  </t>
  </si>
  <si>
    <t>1040507301</t>
  </si>
  <si>
    <t>1040507302</t>
  </si>
  <si>
    <t xml:space="preserve"> DIAMARAKRO  </t>
  </si>
  <si>
    <t>1041300301</t>
  </si>
  <si>
    <t>1041300302</t>
  </si>
  <si>
    <t xml:space="preserve"> ADAOU  </t>
  </si>
  <si>
    <t>1041300303</t>
  </si>
  <si>
    <t xml:space="preserve"> ADJOUAN  </t>
  </si>
  <si>
    <t>1041300304</t>
  </si>
  <si>
    <t xml:space="preserve"> AYAME  </t>
  </si>
  <si>
    <t>1041300305</t>
  </si>
  <si>
    <t xml:space="preserve"> BIANOUAN  </t>
  </si>
  <si>
    <t>1041300306</t>
  </si>
  <si>
    <t xml:space="preserve"> KOUAKRO  </t>
  </si>
  <si>
    <t>1041300307</t>
  </si>
  <si>
    <t xml:space="preserve"> MAFERE  </t>
  </si>
  <si>
    <t>1041300308</t>
  </si>
  <si>
    <t xml:space="preserve"> YAOU  </t>
  </si>
  <si>
    <t>1041305101</t>
  </si>
  <si>
    <t>1041305102</t>
  </si>
  <si>
    <t xml:space="preserve"> ASSINIE  </t>
  </si>
  <si>
    <t>1041305103</t>
  </si>
  <si>
    <t xml:space="preserve"> ETUEBOUE  </t>
  </si>
  <si>
    <t>1041305501</t>
  </si>
  <si>
    <t xml:space="preserve"> BONGO  </t>
  </si>
  <si>
    <t>1041305502</t>
  </si>
  <si>
    <t xml:space="preserve"> BONOUA  </t>
  </si>
  <si>
    <t>1041305503</t>
  </si>
  <si>
    <t>1041309201</t>
  </si>
  <si>
    <t xml:space="preserve"> NOE  </t>
  </si>
  <si>
    <t>1041309202</t>
  </si>
  <si>
    <t xml:space="preserve"> NOUAMOU  </t>
  </si>
  <si>
    <t>1041309203</t>
  </si>
  <si>
    <t>1051003401</t>
  </si>
  <si>
    <t xml:space="preserve"> BAKO  </t>
  </si>
  <si>
    <t>1051003402</t>
  </si>
  <si>
    <t xml:space="preserve"> BOUGOUSSO  </t>
  </si>
  <si>
    <t>1051003403</t>
  </si>
  <si>
    <t xml:space="preserve"> DIOULATIEDOUGOU  </t>
  </si>
  <si>
    <t>1051003404</t>
  </si>
  <si>
    <t>1051003405</t>
  </si>
  <si>
    <t xml:space="preserve"> TIEME  </t>
  </si>
  <si>
    <t>1051006701</t>
  </si>
  <si>
    <t xml:space="preserve"> FENGOLO  </t>
  </si>
  <si>
    <t>1051006702</t>
  </si>
  <si>
    <t>1051006703</t>
  </si>
  <si>
    <t xml:space="preserve"> N'GOLOBLASSO  </t>
  </si>
  <si>
    <t>1051008801</t>
  </si>
  <si>
    <t xml:space="preserve"> KIMBIRILA-SUD  </t>
  </si>
  <si>
    <t>1051008802</t>
  </si>
  <si>
    <t>1051010001</t>
  </si>
  <si>
    <t>1051010002</t>
  </si>
  <si>
    <t xml:space="preserve"> SEYDOUGOU  </t>
  </si>
  <si>
    <t>1051010003</t>
  </si>
  <si>
    <t xml:space="preserve"> SAMANGO  </t>
  </si>
  <si>
    <t>1051010501</t>
  </si>
  <si>
    <t xml:space="preserve"> GBONGAHA  </t>
  </si>
  <si>
    <t>1051010502</t>
  </si>
  <si>
    <t>1052406801</t>
  </si>
  <si>
    <t xml:space="preserve"> KIMBIRILA-NORD  </t>
  </si>
  <si>
    <t>1052406802</t>
  </si>
  <si>
    <t>1052406803</t>
  </si>
  <si>
    <t xml:space="preserve"> SOKORO  </t>
  </si>
  <si>
    <t>1052406804</t>
  </si>
  <si>
    <t xml:space="preserve"> TIENKO  </t>
  </si>
  <si>
    <t>1052408101</t>
  </si>
  <si>
    <t xml:space="preserve"> GOULIA  </t>
  </si>
  <si>
    <t>1052408102</t>
  </si>
  <si>
    <t>1052408103</t>
  </si>
  <si>
    <t xml:space="preserve"> MAHANDIANA-SOKOURANI  </t>
  </si>
  <si>
    <t>1061502101</t>
  </si>
  <si>
    <t xml:space="preserve"> CHIEPO  </t>
  </si>
  <si>
    <t>1061502102</t>
  </si>
  <si>
    <t xml:space="preserve"> DIDOKO  </t>
  </si>
  <si>
    <t>1061502103</t>
  </si>
  <si>
    <t>1061502104</t>
  </si>
  <si>
    <t xml:space="preserve"> HIRE  </t>
  </si>
  <si>
    <t>1061502105</t>
  </si>
  <si>
    <t xml:space="preserve"> NEBO  </t>
  </si>
  <si>
    <t>1061502106</t>
  </si>
  <si>
    <t xml:space="preserve"> OGOUDOU  </t>
  </si>
  <si>
    <t>1061502107</t>
  </si>
  <si>
    <t xml:space="preserve"> ZEGO  </t>
  </si>
  <si>
    <t>1061503001</t>
  </si>
  <si>
    <t xml:space="preserve"> DJIDJI  </t>
  </si>
  <si>
    <t>1061503002</t>
  </si>
  <si>
    <t xml:space="preserve"> GAGORE  </t>
  </si>
  <si>
    <t>1061503003</t>
  </si>
  <si>
    <t xml:space="preserve"> GOUDOUKO  </t>
  </si>
  <si>
    <t>1061503004</t>
  </si>
  <si>
    <t>1061503005</t>
  </si>
  <si>
    <t xml:space="preserve"> NIAMBEZARIA  </t>
  </si>
  <si>
    <t>1061503006</t>
  </si>
  <si>
    <t xml:space="preserve"> ZIKISSO  </t>
  </si>
  <si>
    <t>1061507901</t>
  </si>
  <si>
    <t xml:space="preserve"> DAIRO-DIDIZO  </t>
  </si>
  <si>
    <t>1061507902</t>
  </si>
  <si>
    <t>1061507903</t>
  </si>
  <si>
    <t xml:space="preserve"> LAUZOUA  </t>
  </si>
  <si>
    <t>1061507904</t>
  </si>
  <si>
    <t xml:space="preserve"> YOCOBOUE  </t>
  </si>
  <si>
    <t>1061702401</t>
  </si>
  <si>
    <t xml:space="preserve"> BAYOTA  </t>
  </si>
  <si>
    <t>1061702402</t>
  </si>
  <si>
    <t xml:space="preserve"> DAHIEPA-KEHI  </t>
  </si>
  <si>
    <t>1061702403</t>
  </si>
  <si>
    <t xml:space="preserve"> DIGNAGO  </t>
  </si>
  <si>
    <t>1061702404</t>
  </si>
  <si>
    <t xml:space="preserve"> DOUGROUPALEGNOA  </t>
  </si>
  <si>
    <t>1061702405</t>
  </si>
  <si>
    <t xml:space="preserve"> DOUKOUYO  </t>
  </si>
  <si>
    <t>1061702406</t>
  </si>
  <si>
    <t>1061702407</t>
  </si>
  <si>
    <t xml:space="preserve"> GALEBRE  </t>
  </si>
  <si>
    <t>1061702408</t>
  </si>
  <si>
    <t xml:space="preserve"> GNAGBODOUGNOA  </t>
  </si>
  <si>
    <t>1061702409</t>
  </si>
  <si>
    <t xml:space="preserve"> GUIBEROUA  </t>
  </si>
  <si>
    <t>1061702410</t>
  </si>
  <si>
    <t xml:space="preserve"> OURAGAHIO  </t>
  </si>
  <si>
    <t>1061702411</t>
  </si>
  <si>
    <t xml:space="preserve"> SERIHIO  </t>
  </si>
  <si>
    <t>1061702412</t>
  </si>
  <si>
    <t xml:space="preserve"> YOPOHUE  </t>
  </si>
  <si>
    <t>1061703501</t>
  </si>
  <si>
    <t xml:space="preserve"> DIEGONEFLA  </t>
  </si>
  <si>
    <t>1061703502</t>
  </si>
  <si>
    <t xml:space="preserve"> GUEPAHOUO  </t>
  </si>
  <si>
    <t>1061703503</t>
  </si>
  <si>
    <t>1061703504</t>
  </si>
  <si>
    <t xml:space="preserve"> TONLA  </t>
  </si>
  <si>
    <t>1070201701</t>
  </si>
  <si>
    <t xml:space="preserve"> BEDIALA  </t>
  </si>
  <si>
    <t>1070201702</t>
  </si>
  <si>
    <t>1070201703</t>
  </si>
  <si>
    <t xml:space="preserve"> GADOUAN  </t>
  </si>
  <si>
    <t>1070201704</t>
  </si>
  <si>
    <t xml:space="preserve"> GBOGUHE  </t>
  </si>
  <si>
    <t>1070201705</t>
  </si>
  <si>
    <t xml:space="preserve"> GONATE  </t>
  </si>
  <si>
    <t>1070201706</t>
  </si>
  <si>
    <t xml:space="preserve"> ZAIBO  </t>
  </si>
  <si>
    <t>1070202701</t>
  </si>
  <si>
    <t xml:space="preserve"> BOGUEDIA  </t>
  </si>
  <si>
    <t>1070202702</t>
  </si>
  <si>
    <t xml:space="preserve"> IBOGUHE  </t>
  </si>
  <si>
    <t>1070202703</t>
  </si>
  <si>
    <t>1070202704</t>
  </si>
  <si>
    <t xml:space="preserve"> NAHIO  </t>
  </si>
  <si>
    <t>1070202705</t>
  </si>
  <si>
    <t xml:space="preserve"> NAMANE  </t>
  </si>
  <si>
    <t>1070202706</t>
  </si>
  <si>
    <t xml:space="preserve"> SAIOUA  </t>
  </si>
  <si>
    <t>1070202707</t>
  </si>
  <si>
    <t xml:space="preserve"> TAPEGUIA  </t>
  </si>
  <si>
    <t>1070204801</t>
  </si>
  <si>
    <t xml:space="preserve"> BAZRA-NATTIS  </t>
  </si>
  <si>
    <t>1070204802</t>
  </si>
  <si>
    <t xml:space="preserve"> DANANON  </t>
  </si>
  <si>
    <t>1070204803</t>
  </si>
  <si>
    <t xml:space="preserve"> DANIA  </t>
  </si>
  <si>
    <t>1070204804</t>
  </si>
  <si>
    <t xml:space="preserve"> KETRO BASSAM  </t>
  </si>
  <si>
    <t>1070204805</t>
  </si>
  <si>
    <t xml:space="preserve"> SEITIFLA  </t>
  </si>
  <si>
    <t>1070204806</t>
  </si>
  <si>
    <t>1070209501</t>
  </si>
  <si>
    <t xml:space="preserve"> DOMANGBEU  </t>
  </si>
  <si>
    <t>1070209502</t>
  </si>
  <si>
    <t xml:space="preserve"> GREGBEU  </t>
  </si>
  <si>
    <t>1070209503</t>
  </si>
  <si>
    <t xml:space="preserve"> GUESSABO  </t>
  </si>
  <si>
    <t>1070209504</t>
  </si>
  <si>
    <t>1071201201</t>
  </si>
  <si>
    <t xml:space="preserve"> BEGBESSOU  </t>
  </si>
  <si>
    <t>1071201203</t>
  </si>
  <si>
    <t>1071201204</t>
  </si>
  <si>
    <t xml:space="preserve"> N'DOUFFOUKANKRO  </t>
  </si>
  <si>
    <t>1071201205</t>
  </si>
  <si>
    <t xml:space="preserve"> PAKOUABO  </t>
  </si>
  <si>
    <t>1071201206</t>
  </si>
  <si>
    <t xml:space="preserve"> TIBEITA  </t>
  </si>
  <si>
    <t>1071204001</t>
  </si>
  <si>
    <t xml:space="preserve"> BAZRE  </t>
  </si>
  <si>
    <t>1071204002</t>
  </si>
  <si>
    <t xml:space="preserve"> KONONFLA  </t>
  </si>
  <si>
    <t>1071204003</t>
  </si>
  <si>
    <t xml:space="preserve"> KOUETINFLA  </t>
  </si>
  <si>
    <t>1071204004</t>
  </si>
  <si>
    <t>1071205003</t>
  </si>
  <si>
    <t xml:space="preserve"> KANZRA  </t>
  </si>
  <si>
    <t>1071205005</t>
  </si>
  <si>
    <t xml:space="preserve"> VOUEBOUFLA  </t>
  </si>
  <si>
    <t>1071205006</t>
  </si>
  <si>
    <t xml:space="preserve"> ZANZRA  </t>
  </si>
  <si>
    <t>1071205007</t>
  </si>
  <si>
    <t>1071210901</t>
  </si>
  <si>
    <t>1071210902</t>
  </si>
  <si>
    <t xml:space="preserve"> ZAGUIETA  </t>
  </si>
  <si>
    <t>1071211001</t>
  </si>
  <si>
    <t>1071211002</t>
  </si>
  <si>
    <t xml:space="preserve"> IRIEFLA  </t>
  </si>
  <si>
    <t>1071211003</t>
  </si>
  <si>
    <t xml:space="preserve"> MAMINIGUI  </t>
  </si>
  <si>
    <t>1081102001</t>
  </si>
  <si>
    <t xml:space="preserve"> ABIGUI  </t>
  </si>
  <si>
    <t>1081102002</t>
  </si>
  <si>
    <t xml:space="preserve"> DJANGOKRO  </t>
  </si>
  <si>
    <t>1081102003</t>
  </si>
  <si>
    <t>1081102004</t>
  </si>
  <si>
    <t xml:space="preserve"> NOFOU  </t>
  </si>
  <si>
    <t>1081105301</t>
  </si>
  <si>
    <t xml:space="preserve"> BENGASSOU  </t>
  </si>
  <si>
    <t>1081105302</t>
  </si>
  <si>
    <t>1081105303</t>
  </si>
  <si>
    <t xml:space="preserve"> KOUADIOBLEKRO  </t>
  </si>
  <si>
    <t>1081105304</t>
  </si>
  <si>
    <t xml:space="preserve"> N'ZECREZESSOU  </t>
  </si>
  <si>
    <t>1081110201</t>
  </si>
  <si>
    <t xml:space="preserve"> KOUASSI-KOUASSIKRO  </t>
  </si>
  <si>
    <t>1081110202</t>
  </si>
  <si>
    <t xml:space="preserve"> MEKRO  </t>
  </si>
  <si>
    <t>1082104701</t>
  </si>
  <si>
    <t xml:space="preserve"> ANGODA  </t>
  </si>
  <si>
    <t>1082104702</t>
  </si>
  <si>
    <t xml:space="preserve"> KOKUMBO  </t>
  </si>
  <si>
    <t>1082104703</t>
  </si>
  <si>
    <t xml:space="preserve"> KPOUEBO  </t>
  </si>
  <si>
    <t>1082104704</t>
  </si>
  <si>
    <t>1082105701</t>
  </si>
  <si>
    <t xml:space="preserve"> LOMOKANKRO  </t>
  </si>
  <si>
    <t>1082105702</t>
  </si>
  <si>
    <t xml:space="preserve"> MOLONOU  </t>
  </si>
  <si>
    <t>1082105703</t>
  </si>
  <si>
    <t>1082105704</t>
  </si>
  <si>
    <t xml:space="preserve"> YAKPABO-SAKASSOU  </t>
  </si>
  <si>
    <t>1082106101</t>
  </si>
  <si>
    <t xml:space="preserve"> BOLI  </t>
  </si>
  <si>
    <t>1082106102</t>
  </si>
  <si>
    <t>1082106103</t>
  </si>
  <si>
    <t xml:space="preserve"> MOLONOU BLE  </t>
  </si>
  <si>
    <t>1082106104</t>
  </si>
  <si>
    <t xml:space="preserve"> RAVIART  </t>
  </si>
  <si>
    <t>1082106105</t>
  </si>
  <si>
    <t xml:space="preserve"> TIE-N'DIEKRO  </t>
  </si>
  <si>
    <t>1082109801</t>
  </si>
  <si>
    <t xml:space="preserve"> BONIKRO  </t>
  </si>
  <si>
    <t>1082109802</t>
  </si>
  <si>
    <t>1082901903</t>
  </si>
  <si>
    <t>1082901904</t>
  </si>
  <si>
    <t xml:space="preserve"> ETTROKRO  </t>
  </si>
  <si>
    <t>1082901905</t>
  </si>
  <si>
    <t xml:space="preserve"> N'GATTAKRO  </t>
  </si>
  <si>
    <t>1082901907</t>
  </si>
  <si>
    <t xml:space="preserve"> SAMANZA  </t>
  </si>
  <si>
    <t>1082903301</t>
  </si>
  <si>
    <t xml:space="preserve"> BONGUERA  </t>
  </si>
  <si>
    <t>1082903302</t>
  </si>
  <si>
    <t xml:space="preserve"> KONDOSSOU  </t>
  </si>
  <si>
    <t>1082903303</t>
  </si>
  <si>
    <t>1082906401</t>
  </si>
  <si>
    <t xml:space="preserve"> ANIANOU  </t>
  </si>
  <si>
    <t>1082906402</t>
  </si>
  <si>
    <t xml:space="preserve"> FAMIENKRO  </t>
  </si>
  <si>
    <t>1082906403</t>
  </si>
  <si>
    <t xml:space="preserve"> KOFFI-AMONKRO  </t>
  </si>
  <si>
    <t>1082906404</t>
  </si>
  <si>
    <t xml:space="preserve"> NAFANA (DE PRIKRO)  </t>
  </si>
  <si>
    <t>1082906405</t>
  </si>
  <si>
    <t>1082911101</t>
  </si>
  <si>
    <t xml:space="preserve"> AKPASSANOU  </t>
  </si>
  <si>
    <t>1082911102</t>
  </si>
  <si>
    <t xml:space="preserve"> ANANDA  </t>
  </si>
  <si>
    <t>1082911103</t>
  </si>
  <si>
    <t>1083301101</t>
  </si>
  <si>
    <t xml:space="preserve"> ANDE  </t>
  </si>
  <si>
    <t>1083301102</t>
  </si>
  <si>
    <t xml:space="preserve"> ASSIE-KOUMASSI  </t>
  </si>
  <si>
    <t>1083301103</t>
  </si>
  <si>
    <t>1083301104</t>
  </si>
  <si>
    <t xml:space="preserve"> N'GUESSANKRO (DE BONGOUANOU)	 </t>
  </si>
  <si>
    <t>1083307101</t>
  </si>
  <si>
    <t>1083307102</t>
  </si>
  <si>
    <t xml:space="preserve"> KOTOBI  </t>
  </si>
  <si>
    <t>1083307103</t>
  </si>
  <si>
    <t xml:space="preserve"> KREGBE  </t>
  </si>
  <si>
    <t>1083308401</t>
  </si>
  <si>
    <t xml:space="preserve"> ANOUMABA  </t>
  </si>
  <si>
    <t>1083308402</t>
  </si>
  <si>
    <t xml:space="preserve"> ASSAHARA  </t>
  </si>
  <si>
    <t>1083308403</t>
  </si>
  <si>
    <t>1083308404</t>
  </si>
  <si>
    <t xml:space="preserve"> TIEMELEKRO  </t>
  </si>
  <si>
    <t>1091600501</t>
  </si>
  <si>
    <t xml:space="preserve"> ABOUDE  </t>
  </si>
  <si>
    <t>1091600502</t>
  </si>
  <si>
    <t xml:space="preserve"> ANANGUIE  </t>
  </si>
  <si>
    <t>1091600503</t>
  </si>
  <si>
    <t>1091600504</t>
  </si>
  <si>
    <t xml:space="preserve"> ATTOBROU  </t>
  </si>
  <si>
    <t>1091600505</t>
  </si>
  <si>
    <t xml:space="preserve"> AZAGUIE  </t>
  </si>
  <si>
    <t>1091600506</t>
  </si>
  <si>
    <t xml:space="preserve"> CECHI  </t>
  </si>
  <si>
    <t>1091600507</t>
  </si>
  <si>
    <t xml:space="preserve"> GRAND-MORIE  </t>
  </si>
  <si>
    <t>1091600508</t>
  </si>
  <si>
    <t xml:space="preserve"> GUESSIGUIE  </t>
  </si>
  <si>
    <t>1091600509</t>
  </si>
  <si>
    <t xml:space="preserve"> LOVIGUIE  </t>
  </si>
  <si>
    <t>1091600510</t>
  </si>
  <si>
    <t xml:space="preserve"> ORESS-KROBOU  </t>
  </si>
  <si>
    <t>1091600511</t>
  </si>
  <si>
    <t xml:space="preserve"> RUBINO  </t>
  </si>
  <si>
    <t>1091604501</t>
  </si>
  <si>
    <t xml:space="preserve"> GBOLOUVILLE  </t>
  </si>
  <si>
    <t>1091604502</t>
  </si>
  <si>
    <t xml:space="preserve"> MOROKRO  </t>
  </si>
  <si>
    <t>1091604503</t>
  </si>
  <si>
    <t xml:space="preserve"> N'DOUCI  </t>
  </si>
  <si>
    <t>1091604504</t>
  </si>
  <si>
    <t>1091606501</t>
  </si>
  <si>
    <t xml:space="preserve"> GOMON  </t>
  </si>
  <si>
    <t>1091606502</t>
  </si>
  <si>
    <t>1091610701</t>
  </si>
  <si>
    <t xml:space="preserve"> PACOBO  </t>
  </si>
  <si>
    <t>1091610702</t>
  </si>
  <si>
    <t>1092602501</t>
  </si>
  <si>
    <t xml:space="preserve"> AHOUANOU  </t>
  </si>
  <si>
    <t>1092602502</t>
  </si>
  <si>
    <t xml:space="preserve"> BACANDA  </t>
  </si>
  <si>
    <t>1092602503</t>
  </si>
  <si>
    <t xml:space="preserve"> EBONOU  </t>
  </si>
  <si>
    <t>1092602504</t>
  </si>
  <si>
    <t>1092602505</t>
  </si>
  <si>
    <t xml:space="preserve"> TOUKOUZOU  </t>
  </si>
  <si>
    <t>1092605401</t>
  </si>
  <si>
    <t>1092605402</t>
  </si>
  <si>
    <t xml:space="preserve"> LOPOU  </t>
  </si>
  <si>
    <t>1092605403</t>
  </si>
  <si>
    <t xml:space="preserve"> TOUPAH  </t>
  </si>
  <si>
    <t>1092605601</t>
  </si>
  <si>
    <t xml:space="preserve"> ATTOUTOU A  </t>
  </si>
  <si>
    <t>1092605602</t>
  </si>
  <si>
    <t>1093000401</t>
  </si>
  <si>
    <t>1093000402</t>
  </si>
  <si>
    <t xml:space="preserve"> AGOU  </t>
  </si>
  <si>
    <t>1093000403</t>
  </si>
  <si>
    <t xml:space="preserve"> ANNEPE  </t>
  </si>
  <si>
    <t>1093000404</t>
  </si>
  <si>
    <t xml:space="preserve"> ASSIKOI  </t>
  </si>
  <si>
    <t>1093000405</t>
  </si>
  <si>
    <t xml:space="preserve"> BECEDI-BRIGNAN  </t>
  </si>
  <si>
    <t>1093000406</t>
  </si>
  <si>
    <t xml:space="preserve"> YAKASSE-ME  </t>
  </si>
  <si>
    <t>1093005201</t>
  </si>
  <si>
    <t xml:space="preserve"> ABOISSO-COMOE  </t>
  </si>
  <si>
    <t>1093005202</t>
  </si>
  <si>
    <t>1093005203</t>
  </si>
  <si>
    <t xml:space="preserve"> ALLOSSO  </t>
  </si>
  <si>
    <t>1093005204</t>
  </si>
  <si>
    <t xml:space="preserve"> DANGUIRA  </t>
  </si>
  <si>
    <t>1093005205</t>
  </si>
  <si>
    <t xml:space="preserve"> OGHLWAPO  </t>
  </si>
  <si>
    <t>1093006001</t>
  </si>
  <si>
    <t xml:space="preserve"> AFFERY  </t>
  </si>
  <si>
    <t>1093006002</t>
  </si>
  <si>
    <t>1093006003</t>
  </si>
  <si>
    <t xml:space="preserve"> BECOUEFIN  </t>
  </si>
  <si>
    <t>1093009401</t>
  </si>
  <si>
    <t xml:space="preserve"> ABONGOUA  </t>
  </si>
  <si>
    <t>1093009402</t>
  </si>
  <si>
    <t xml:space="preserve"> BIEBY  </t>
  </si>
  <si>
    <t>1093009403</t>
  </si>
  <si>
    <t>1100600901</t>
  </si>
  <si>
    <t>1100600902</t>
  </si>
  <si>
    <t xml:space="preserve"> BLAPLEU  </t>
  </si>
  <si>
    <t>1100600903</t>
  </si>
  <si>
    <t xml:space="preserve"> GBANGBEGOUINE  </t>
  </si>
  <si>
    <t>1100600904</t>
  </si>
  <si>
    <t xml:space="preserve"> GBONNE  </t>
  </si>
  <si>
    <t>1100600905</t>
  </si>
  <si>
    <t xml:space="preserve"> GOUINE  </t>
  </si>
  <si>
    <t>1100600906</t>
  </si>
  <si>
    <t xml:space="preserve"> KPATA  </t>
  </si>
  <si>
    <t>1100600907</t>
  </si>
  <si>
    <t xml:space="preserve"> SANTA (DE BIANKOUMA)  </t>
  </si>
  <si>
    <t>1100601801</t>
  </si>
  <si>
    <t xml:space="preserve"> DALEU  </t>
  </si>
  <si>
    <t>1100601802</t>
  </si>
  <si>
    <t>1100601803</t>
  </si>
  <si>
    <t xml:space="preserve"> GBON-HOUYE  </t>
  </si>
  <si>
    <t>1100601804</t>
  </si>
  <si>
    <t xml:space="preserve"> KOUAN-HOULE  </t>
  </si>
  <si>
    <t>1100601805</t>
  </si>
  <si>
    <t xml:space="preserve"> MAHAPLEU  </t>
  </si>
  <si>
    <t>1100601806</t>
  </si>
  <si>
    <t xml:space="preserve"> SEILEU  </t>
  </si>
  <si>
    <t>1100601807</t>
  </si>
  <si>
    <t xml:space="preserve"> ZONNEU  </t>
  </si>
  <si>
    <t>1100603101</t>
  </si>
  <si>
    <t xml:space="preserve"> BOGOUINE  </t>
  </si>
  <si>
    <t>1100603102</t>
  </si>
  <si>
    <t xml:space="preserve"> FAGNAMPLEU  </t>
  </si>
  <si>
    <t>1100603103</t>
  </si>
  <si>
    <t xml:space="preserve"> GBANGBEGOUINE-YATI  </t>
  </si>
  <si>
    <t>1100603104</t>
  </si>
  <si>
    <t xml:space="preserve"> LOGOUALE  </t>
  </si>
  <si>
    <t>1100603105</t>
  </si>
  <si>
    <t>1100603106</t>
  </si>
  <si>
    <t xml:space="preserve"> PODIAGOUINE  </t>
  </si>
  <si>
    <t>1100603107</t>
  </si>
  <si>
    <t xml:space="preserve"> SANDOUGOU-SOBA  </t>
  </si>
  <si>
    <t>1100603108</t>
  </si>
  <si>
    <t xml:space="preserve"> SANGOUINE  </t>
  </si>
  <si>
    <t>1100603109</t>
  </si>
  <si>
    <t xml:space="preserve"> YAPLEU  </t>
  </si>
  <si>
    <t>1100603110</t>
  </si>
  <si>
    <t xml:space="preserve"> ZAGOUE  </t>
  </si>
  <si>
    <t>1100603111</t>
  </si>
  <si>
    <t xml:space="preserve"> ZIOGOUINE  </t>
  </si>
  <si>
    <t>1100606601</t>
  </si>
  <si>
    <t xml:space="preserve"> BANNEU  </t>
  </si>
  <si>
    <t>1100606602</t>
  </si>
  <si>
    <t xml:space="preserve"> BIN-HOUYE  </t>
  </si>
  <si>
    <t>1100606603</t>
  </si>
  <si>
    <t xml:space="preserve"> GOULALEU  </t>
  </si>
  <si>
    <t>1100606604</t>
  </si>
  <si>
    <t xml:space="preserve"> TEAPLEU  </t>
  </si>
  <si>
    <t>1100606605</t>
  </si>
  <si>
    <t xml:space="preserve"> YELLEU  </t>
  </si>
  <si>
    <t>1100606606</t>
  </si>
  <si>
    <t>1100610601</t>
  </si>
  <si>
    <t>1100610602</t>
  </si>
  <si>
    <t xml:space="preserve"> YORODOUGOU  </t>
  </si>
  <si>
    <t>1101802601</t>
  </si>
  <si>
    <t xml:space="preserve"> BEDY-GOAZON  </t>
  </si>
  <si>
    <t>1101802602</t>
  </si>
  <si>
    <t>1101802603</t>
  </si>
  <si>
    <t xml:space="preserve"> KAADE  </t>
  </si>
  <si>
    <t>1101802604</t>
  </si>
  <si>
    <t xml:space="preserve"> NIZAHON  </t>
  </si>
  <si>
    <t>1101805801</t>
  </si>
  <si>
    <t xml:space="preserve"> BAKOUBLY  </t>
  </si>
  <si>
    <t>1101805802</t>
  </si>
  <si>
    <t xml:space="preserve"> MEO  </t>
  </si>
  <si>
    <t>1101805803</t>
  </si>
  <si>
    <t xml:space="preserve"> NEZOBLY  </t>
  </si>
  <si>
    <t>1101805804</t>
  </si>
  <si>
    <t xml:space="preserve"> PEHE  </t>
  </si>
  <si>
    <t>1101805805</t>
  </si>
  <si>
    <t xml:space="preserve"> TIOBLY  </t>
  </si>
  <si>
    <t>1101805806</t>
  </si>
  <si>
    <t>1101805901</t>
  </si>
  <si>
    <t>1101805902</t>
  </si>
  <si>
    <t xml:space="preserve"> DIBOKE  </t>
  </si>
  <si>
    <t>1101805903</t>
  </si>
  <si>
    <t xml:space="preserve"> DOKE  </t>
  </si>
  <si>
    <t>1101805904</t>
  </si>
  <si>
    <t xml:space="preserve"> TINHOU  </t>
  </si>
  <si>
    <t>1101805905</t>
  </si>
  <si>
    <t xml:space="preserve"> ZEAGLO  </t>
  </si>
  <si>
    <t>1101810801</t>
  </si>
  <si>
    <t>1101810802</t>
  </si>
  <si>
    <t xml:space="preserve"> ZAGNE  </t>
  </si>
  <si>
    <t>1102700701</t>
  </si>
  <si>
    <t>1102700702</t>
  </si>
  <si>
    <t xml:space="preserve"> BEOUE-ZIBIAO  </t>
  </si>
  <si>
    <t>1102700703</t>
  </si>
  <si>
    <t xml:space="preserve"> BLENIMEOUIN  </t>
  </si>
  <si>
    <t>1102700704</t>
  </si>
  <si>
    <t xml:space="preserve"> DIEOUZON  </t>
  </si>
  <si>
    <t>1102700705</t>
  </si>
  <si>
    <t xml:space="preserve"> GOHOUO-ZAGNA  </t>
  </si>
  <si>
    <t>1102700706</t>
  </si>
  <si>
    <t xml:space="preserve"> GUINGLO-TAHOUAKE  </t>
  </si>
  <si>
    <t>1102700707</t>
  </si>
  <si>
    <t xml:space="preserve"> KAHIN-ZARABAON  </t>
  </si>
  <si>
    <t>1102700708</t>
  </si>
  <si>
    <t xml:space="preserve"> ZEO  </t>
  </si>
  <si>
    <t>1102700709</t>
  </si>
  <si>
    <t xml:space="preserve"> ZOU  </t>
  </si>
  <si>
    <t>1102702201</t>
  </si>
  <si>
    <t xml:space="preserve"> BAGOHOUO  </t>
  </si>
  <si>
    <t>1102702202</t>
  </si>
  <si>
    <t>1102702203</t>
  </si>
  <si>
    <t xml:space="preserve"> GBAPLEU  </t>
  </si>
  <si>
    <t>1102702204</t>
  </si>
  <si>
    <t xml:space="preserve"> GUEHIEBLY  </t>
  </si>
  <si>
    <t>1102702205</t>
  </si>
  <si>
    <t xml:space="preserve"> GUEZON (DE DUEKOUE)  </t>
  </si>
  <si>
    <t>1102706201</t>
  </si>
  <si>
    <t>1102706202</t>
  </si>
  <si>
    <t xml:space="preserve"> NIDROU  </t>
  </si>
  <si>
    <t>1102706203</t>
  </si>
  <si>
    <t xml:space="preserve"> OUYABLY-GNONDROU  </t>
  </si>
  <si>
    <t>1102706204</t>
  </si>
  <si>
    <t xml:space="preserve"> TOTRODROU  </t>
  </si>
  <si>
    <t>1102709901</t>
  </si>
  <si>
    <t>1102709902</t>
  </si>
  <si>
    <t xml:space="preserve"> GUEZON (DE FACOBLY)  </t>
  </si>
  <si>
    <t>1102709903</t>
  </si>
  <si>
    <t xml:space="preserve"> KOUA  </t>
  </si>
  <si>
    <t>1102709904</t>
  </si>
  <si>
    <t xml:space="preserve"> SEMIEN  </t>
  </si>
  <si>
    <t>1102709905</t>
  </si>
  <si>
    <t xml:space="preserve"> TIENY-SIABLY  </t>
  </si>
  <si>
    <t>1110302901</t>
  </si>
  <si>
    <t xml:space="preserve"> DASSOUNGBOHO  </t>
  </si>
  <si>
    <t>1110302902</t>
  </si>
  <si>
    <t xml:space="preserve"> KANOROBA  </t>
  </si>
  <si>
    <t>1110302903</t>
  </si>
  <si>
    <t xml:space="preserve"> KARAKORO  </t>
  </si>
  <si>
    <t>1110302904</t>
  </si>
  <si>
    <t xml:space="preserve"> KIEMOU  </t>
  </si>
  <si>
    <t>1110302905</t>
  </si>
  <si>
    <t xml:space="preserve"> KONI  </t>
  </si>
  <si>
    <t>1110302906</t>
  </si>
  <si>
    <t>1110302907</t>
  </si>
  <si>
    <t xml:space="preserve"> KOMBOLOKOURA  </t>
  </si>
  <si>
    <t>1110302908</t>
  </si>
  <si>
    <t xml:space="preserve"> KOMBORODOUGOU  </t>
  </si>
  <si>
    <t>1110302909</t>
  </si>
  <si>
    <t xml:space="preserve"> LATAHA  </t>
  </si>
  <si>
    <t>1110302910</t>
  </si>
  <si>
    <t xml:space="preserve"> NAFOUN  </t>
  </si>
  <si>
    <t>1110302911</t>
  </si>
  <si>
    <t xml:space="preserve"> NAPIE  </t>
  </si>
  <si>
    <t>1110302912</t>
  </si>
  <si>
    <t xml:space="preserve"> N'GANON  </t>
  </si>
  <si>
    <t>1110302913</t>
  </si>
  <si>
    <t xml:space="preserve"> NIOFOIN  </t>
  </si>
  <si>
    <t>1110302914</t>
  </si>
  <si>
    <t xml:space="preserve"> SIRASSO  </t>
  </si>
  <si>
    <t>1110302915</t>
  </si>
  <si>
    <t xml:space="preserve"> SOHOUO  </t>
  </si>
  <si>
    <t>1110302916</t>
  </si>
  <si>
    <t xml:space="preserve"> TIORONIARADOUGOU  </t>
  </si>
  <si>
    <t>1110307501</t>
  </si>
  <si>
    <t xml:space="preserve"> BORON  </t>
  </si>
  <si>
    <t>1110307502</t>
  </si>
  <si>
    <t>1110307503</t>
  </si>
  <si>
    <t xml:space="preserve"> GUIEMBE  </t>
  </si>
  <si>
    <t>1110309001</t>
  </si>
  <si>
    <t xml:space="preserve"> BAHOUAKAHA  </t>
  </si>
  <si>
    <t>1110309002</t>
  </si>
  <si>
    <t xml:space="preserve"> KAGBOLODOUGOU  </t>
  </si>
  <si>
    <t>1110309003</t>
  </si>
  <si>
    <t xml:space="preserve"> SEDIOGO  </t>
  </si>
  <si>
    <t>1110309004</t>
  </si>
  <si>
    <t>1110310301</t>
  </si>
  <si>
    <t xml:space="preserve"> BOUGOU  </t>
  </si>
  <si>
    <t>1110310302</t>
  </si>
  <si>
    <t xml:space="preserve"> KATIALI  </t>
  </si>
  <si>
    <t>1110310303</t>
  </si>
  <si>
    <t xml:space="preserve"> KATOGO  </t>
  </si>
  <si>
    <t>1110310304</t>
  </si>
  <si>
    <t>1112001501</t>
  </si>
  <si>
    <t xml:space="preserve"> BAYA  </t>
  </si>
  <si>
    <t>1112001502</t>
  </si>
  <si>
    <t>1112001503</t>
  </si>
  <si>
    <t xml:space="preserve"> GANAONI  </t>
  </si>
  <si>
    <t>1112001504</t>
  </si>
  <si>
    <t xml:space="preserve"> KASSERE  </t>
  </si>
  <si>
    <t>1112001505</t>
  </si>
  <si>
    <t xml:space="preserve"> SIEMPURGO  </t>
  </si>
  <si>
    <t>1112004401</t>
  </si>
  <si>
    <t xml:space="preserve"> DEBETE  </t>
  </si>
  <si>
    <t>1112004402</t>
  </si>
  <si>
    <t xml:space="preserve"> KANAKONO  </t>
  </si>
  <si>
    <t>1112004403</t>
  </si>
  <si>
    <t xml:space="preserve"> PAPARA  </t>
  </si>
  <si>
    <t>1112004404</t>
  </si>
  <si>
    <t>1112008301</t>
  </si>
  <si>
    <t xml:space="preserve"> BLESSEGUE  </t>
  </si>
  <si>
    <t>1112008302</t>
  </si>
  <si>
    <t xml:space="preserve"> GBON  </t>
  </si>
  <si>
    <t>1112008303</t>
  </si>
  <si>
    <t xml:space="preserve"> KOLIA  </t>
  </si>
  <si>
    <t>1112008304</t>
  </si>
  <si>
    <t>1112008305</t>
  </si>
  <si>
    <t xml:space="preserve"> SIANHALA  </t>
  </si>
  <si>
    <t>1113202301</t>
  </si>
  <si>
    <t>1113202302</t>
  </si>
  <si>
    <t xml:space="preserve"> KOUMBALA  </t>
  </si>
  <si>
    <t>1113202303</t>
  </si>
  <si>
    <t xml:space="preserve"> TOGONIERE  </t>
  </si>
  <si>
    <t>1113208601</t>
  </si>
  <si>
    <t xml:space="preserve"> DIAWALA  </t>
  </si>
  <si>
    <t>1113208602</t>
  </si>
  <si>
    <t xml:space="preserve"> KAOUARA  </t>
  </si>
  <si>
    <t>1113208603</t>
  </si>
  <si>
    <t xml:space="preserve"> NIELLE  </t>
  </si>
  <si>
    <t>1113208604</t>
  </si>
  <si>
    <t>1113208605</t>
  </si>
  <si>
    <t xml:space="preserve"> TOUMOUKORO  </t>
  </si>
  <si>
    <t>1113210101</t>
  </si>
  <si>
    <t xml:space="preserve"> BILIMONO  </t>
  </si>
  <si>
    <t>1113210102</t>
  </si>
  <si>
    <t>1113210103</t>
  </si>
  <si>
    <t xml:space="preserve"> NAFANA(DE KONG)  </t>
  </si>
  <si>
    <t>1113210104</t>
  </si>
  <si>
    <t xml:space="preserve"> SIKOLO  </t>
  </si>
  <si>
    <t>1120400801</t>
  </si>
  <si>
    <t xml:space="preserve"> ANDO-KEKRENOU  </t>
  </si>
  <si>
    <t>1120400802</t>
  </si>
  <si>
    <t>1120400803</t>
  </si>
  <si>
    <t xml:space="preserve"> BODOKRO  </t>
  </si>
  <si>
    <t>1120400804</t>
  </si>
  <si>
    <t xml:space="preserve"> LOLOBO (DE BEOUMI)  </t>
  </si>
  <si>
    <t>1120400805</t>
  </si>
  <si>
    <t xml:space="preserve"> MARABADJASSA  </t>
  </si>
  <si>
    <t>1120400806</t>
  </si>
  <si>
    <t xml:space="preserve"> N'GUESSANKRO (DE BEOUMI)  </t>
  </si>
  <si>
    <t>1120400807</t>
  </si>
  <si>
    <t xml:space="preserve"> KONDROBO  </t>
  </si>
  <si>
    <t>1120401301</t>
  </si>
  <si>
    <t>1120401302</t>
  </si>
  <si>
    <t xml:space="preserve"> BOUNDA  </t>
  </si>
  <si>
    <t>1120401303</t>
  </si>
  <si>
    <t xml:space="preserve"> BROBO  </t>
  </si>
  <si>
    <t>1120401304</t>
  </si>
  <si>
    <t xml:space="preserve"> DJEBONOUA  </t>
  </si>
  <si>
    <t>1120401305</t>
  </si>
  <si>
    <t xml:space="preserve"> MAMINI  </t>
  </si>
  <si>
    <t>1120403601</t>
  </si>
  <si>
    <t xml:space="preserve"> AYAOU-SOKPA  </t>
  </si>
  <si>
    <t>1120403602</t>
  </si>
  <si>
    <t xml:space="preserve"> DIBRI-ASRIKRO  </t>
  </si>
  <si>
    <t>1120403603</t>
  </si>
  <si>
    <t>1120403604</t>
  </si>
  <si>
    <t xml:space="preserve"> TOUMODI-SAKASSOU  </t>
  </si>
  <si>
    <t>1120407401</t>
  </si>
  <si>
    <t>1120407402</t>
  </si>
  <si>
    <t xml:space="preserve"> DIABO  </t>
  </si>
  <si>
    <t>1120407403</t>
  </si>
  <si>
    <t xml:space="preserve"> KROFOINSOU  </t>
  </si>
  <si>
    <t>1120407404</t>
  </si>
  <si>
    <t xml:space="preserve"> LANGUIBONOU  </t>
  </si>
  <si>
    <t>1122801601</t>
  </si>
  <si>
    <t xml:space="preserve"> BASSAWA  </t>
  </si>
  <si>
    <t>1122801602</t>
  </si>
  <si>
    <t xml:space="preserve"> BONIEREDOUGOU  </t>
  </si>
  <si>
    <t>1122801603</t>
  </si>
  <si>
    <t>1122801604</t>
  </si>
  <si>
    <t xml:space="preserve"> FOUMBOLO  </t>
  </si>
  <si>
    <t>1122801605</t>
  </si>
  <si>
    <t xml:space="preserve"> NIEMENE  </t>
  </si>
  <si>
    <t>1122801606</t>
  </si>
  <si>
    <t xml:space="preserve"> SATAMA-SOKORO  </t>
  </si>
  <si>
    <t>1122801607</t>
  </si>
  <si>
    <t xml:space="preserve"> SATAMA-SOKOURA  </t>
  </si>
  <si>
    <t>1122801608</t>
  </si>
  <si>
    <t xml:space="preserve"> SOKALA-SOBARA  </t>
  </si>
  <si>
    <t>1122801609</t>
  </si>
  <si>
    <t xml:space="preserve"> TIENDENE-BAMBARASSO  </t>
  </si>
  <si>
    <t>1122801610</t>
  </si>
  <si>
    <t xml:space="preserve"> YAOSSEDOUGOU  </t>
  </si>
  <si>
    <t>1122802801</t>
  </si>
  <si>
    <t xml:space="preserve"> FRONAN  </t>
  </si>
  <si>
    <t>1122802802</t>
  </si>
  <si>
    <t>1122802803</t>
  </si>
  <si>
    <t xml:space="preserve"> TIMBE  </t>
  </si>
  <si>
    <t>1122808501</t>
  </si>
  <si>
    <t xml:space="preserve"> ARIKOKAHA  </t>
  </si>
  <si>
    <t>1122808502</t>
  </si>
  <si>
    <t xml:space="preserve"> BADIKAHA  </t>
  </si>
  <si>
    <t>1122808503</t>
  </si>
  <si>
    <t>1122808504</t>
  </si>
  <si>
    <t xml:space="preserve"> NIEDEKAHA  </t>
  </si>
  <si>
    <t>1122808505</t>
  </si>
  <si>
    <t xml:space="preserve"> TAFIRE  </t>
  </si>
  <si>
    <t>1122808506</t>
  </si>
  <si>
    <t xml:space="preserve"> TORTIYA  </t>
  </si>
  <si>
    <t>1131403901</t>
  </si>
  <si>
    <t xml:space="preserve"> BOBI  </t>
  </si>
  <si>
    <t>1131403902</t>
  </si>
  <si>
    <t xml:space="preserve"> DIARABANA  </t>
  </si>
  <si>
    <t>1131403903</t>
  </si>
  <si>
    <t xml:space="preserve"> DUALLA  </t>
  </si>
  <si>
    <t>1131403904</t>
  </si>
  <si>
    <t xml:space="preserve"> KAMALO  </t>
  </si>
  <si>
    <t>1131403905</t>
  </si>
  <si>
    <t xml:space="preserve"> MASSALA  </t>
  </si>
  <si>
    <t>1131403906</t>
  </si>
  <si>
    <t>1131403907</t>
  </si>
  <si>
    <t xml:space="preserve"> SIFIE  </t>
  </si>
  <si>
    <t>1131403908</t>
  </si>
  <si>
    <t xml:space="preserve"> WOROFLA  </t>
  </si>
  <si>
    <t>1131408001</t>
  </si>
  <si>
    <t xml:space="preserve"> DJIBROSSO  </t>
  </si>
  <si>
    <t>1131408002</t>
  </si>
  <si>
    <t xml:space="preserve"> FADIADOUGOU  </t>
  </si>
  <si>
    <t>1131408003</t>
  </si>
  <si>
    <t>1131408004</t>
  </si>
  <si>
    <t xml:space="preserve"> MORONDO  </t>
  </si>
  <si>
    <t>1131904601</t>
  </si>
  <si>
    <t xml:space="preserve"> DIOMAN  </t>
  </si>
  <si>
    <t>1131904602</t>
  </si>
  <si>
    <t xml:space="preserve"> FOUNGBESSO  </t>
  </si>
  <si>
    <t>1131904603</t>
  </si>
  <si>
    <t xml:space="preserve"> GUINTEGUELA  </t>
  </si>
  <si>
    <t>1131904604</t>
  </si>
  <si>
    <t>1131908201</t>
  </si>
  <si>
    <t xml:space="preserve"> BOOKO  </t>
  </si>
  <si>
    <t>1131908202</t>
  </si>
  <si>
    <t xml:space="preserve"> BOROTOU  </t>
  </si>
  <si>
    <t>1131908203</t>
  </si>
  <si>
    <t>1131908204</t>
  </si>
  <si>
    <t xml:space="preserve"> MAHANDOUGOU  </t>
  </si>
  <si>
    <t>1131908205</t>
  </si>
  <si>
    <t xml:space="preserve"> NIOKOSSO  </t>
  </si>
  <si>
    <t>1131908701</t>
  </si>
  <si>
    <t xml:space="preserve"> GBELO  </t>
  </si>
  <si>
    <t>1131908702</t>
  </si>
  <si>
    <t xml:space="preserve"> GOUEKAN  </t>
  </si>
  <si>
    <t>1131908703</t>
  </si>
  <si>
    <t xml:space="preserve"> KOONAN  </t>
  </si>
  <si>
    <t>1131908704</t>
  </si>
  <si>
    <t>1131908705</t>
  </si>
  <si>
    <t xml:space="preserve"> SABOUDOUGOU  </t>
  </si>
  <si>
    <t>1131908706</t>
  </si>
  <si>
    <t xml:space="preserve"> SANTA (DE OUANINOU)  </t>
  </si>
  <si>
    <t>1132203201</t>
  </si>
  <si>
    <t xml:space="preserve"> BOUANDOUGOU  </t>
  </si>
  <si>
    <t>1132203202</t>
  </si>
  <si>
    <t>1132203203</t>
  </si>
  <si>
    <t xml:space="preserve"> MARHANDALLAH  </t>
  </si>
  <si>
    <t>1132203204</t>
  </si>
  <si>
    <t xml:space="preserve"> SARHALA  </t>
  </si>
  <si>
    <t>1132203205</t>
  </si>
  <si>
    <t xml:space="preserve"> TIENINGBOUE  </t>
  </si>
  <si>
    <t>1132206901</t>
  </si>
  <si>
    <t xml:space="preserve"> KONGASSO  </t>
  </si>
  <si>
    <t>1132206902</t>
  </si>
  <si>
    <t>1132209701</t>
  </si>
  <si>
    <t>1132209702</t>
  </si>
  <si>
    <t xml:space="preserve"> DIANRA VILLAGE  </t>
  </si>
  <si>
    <t>1140801001</t>
  </si>
  <si>
    <t xml:space="preserve"> APPIMANDOUM  </t>
  </si>
  <si>
    <t>1140801002</t>
  </si>
  <si>
    <t xml:space="preserve"> PINDA-BOROKO  </t>
  </si>
  <si>
    <t>1140801003</t>
  </si>
  <si>
    <t xml:space="preserve"> BONDO  </t>
  </si>
  <si>
    <t>1140801004</t>
  </si>
  <si>
    <t>1140801005</t>
  </si>
  <si>
    <t xml:space="preserve"> GOUMERE  </t>
  </si>
  <si>
    <t>1140801006</t>
  </si>
  <si>
    <t xml:space="preserve"> LAOUDI BA  </t>
  </si>
  <si>
    <t>1140801007</t>
  </si>
  <si>
    <t xml:space="preserve"> SAPLI-SEPINGO  </t>
  </si>
  <si>
    <t>1140801008</t>
  </si>
  <si>
    <t xml:space="preserve"> SOROBANGO  </t>
  </si>
  <si>
    <t>1140801009</t>
  </si>
  <si>
    <t xml:space="preserve"> TABAGNE  </t>
  </si>
  <si>
    <t>1140801010</t>
  </si>
  <si>
    <t xml:space="preserve"> TAGADI  </t>
  </si>
  <si>
    <t>1140801011</t>
  </si>
  <si>
    <t xml:space="preserve"> TAOUDI  </t>
  </si>
  <si>
    <t>1140801012</t>
  </si>
  <si>
    <t xml:space="preserve"> YEZIMALA  </t>
  </si>
  <si>
    <t>1140804301</t>
  </si>
  <si>
    <t xml:space="preserve"> AMANVI  </t>
  </si>
  <si>
    <t>1140804302</t>
  </si>
  <si>
    <t xml:space="preserve"> DIAMBA  </t>
  </si>
  <si>
    <t>1140804303</t>
  </si>
  <si>
    <t>1140804304</t>
  </si>
  <si>
    <t xml:space="preserve"> TIEDIO  </t>
  </si>
  <si>
    <t>1140807001</t>
  </si>
  <si>
    <t xml:space="preserve"> BOAHIA  </t>
  </si>
  <si>
    <t>1140807002</t>
  </si>
  <si>
    <t xml:space="preserve"> KOKOMIAN  </t>
  </si>
  <si>
    <t>1140807003</t>
  </si>
  <si>
    <t xml:space="preserve"> KOUASSI-DATEKRO  </t>
  </si>
  <si>
    <t>1140807004</t>
  </si>
  <si>
    <t>1140807005</t>
  </si>
  <si>
    <t xml:space="preserve"> TANKESSE  </t>
  </si>
  <si>
    <t>1140807006</t>
  </si>
  <si>
    <t xml:space="preserve"> TIENKOIKRO  </t>
  </si>
  <si>
    <t>1140808901</t>
  </si>
  <si>
    <t xml:space="preserve"> BANDAKAGNI-TOMORA  </t>
  </si>
  <si>
    <t>1140808902</t>
  </si>
  <si>
    <t xml:space="preserve"> DIMANDOUGOU  </t>
  </si>
  <si>
    <t>1140808903</t>
  </si>
  <si>
    <t>1140808904</t>
  </si>
  <si>
    <t xml:space="preserve"> YOROBODI  </t>
  </si>
  <si>
    <t>1140809301</t>
  </si>
  <si>
    <t xml:space="preserve"> ASSUEFRY  </t>
  </si>
  <si>
    <t>1140809302</t>
  </si>
  <si>
    <t xml:space="preserve"> KOUASSIA-NIAGUINI  </t>
  </si>
  <si>
    <t>1140809303</t>
  </si>
  <si>
    <t>1142301401</t>
  </si>
  <si>
    <t xml:space="preserve"> BOUKO  </t>
  </si>
  <si>
    <t>1142301402</t>
  </si>
  <si>
    <t>1142301403</t>
  </si>
  <si>
    <t xml:space="preserve"> ONDEFIDOUO  </t>
  </si>
  <si>
    <t>1142301404</t>
  </si>
  <si>
    <t xml:space="preserve"> YOUNDOUO  </t>
  </si>
  <si>
    <t>1142306301</t>
  </si>
  <si>
    <t xml:space="preserve"> BOGOFA  </t>
  </si>
  <si>
    <t>1142306302</t>
  </si>
  <si>
    <t xml:space="preserve"> KOTOUBA  </t>
  </si>
  <si>
    <t>1142306303</t>
  </si>
  <si>
    <t xml:space="preserve"> KAKPIN  </t>
  </si>
  <si>
    <t>1142306304</t>
  </si>
  <si>
    <t>1142306305</t>
  </si>
  <si>
    <t xml:space="preserve"> SOMINASSE  </t>
  </si>
  <si>
    <t>1142307601</t>
  </si>
  <si>
    <t xml:space="preserve"> DANOA  </t>
  </si>
  <si>
    <t>1142307602</t>
  </si>
  <si>
    <t>1142307603</t>
  </si>
  <si>
    <t xml:space="preserve"> KALAMON  </t>
  </si>
  <si>
    <t>1142307604</t>
  </si>
  <si>
    <t xml:space="preserve"> NIAMOUE  </t>
  </si>
  <si>
    <t>1142309101</t>
  </si>
  <si>
    <t xml:space="preserve"> GOGO  </t>
  </si>
  <si>
    <t>1142309102</t>
  </si>
  <si>
    <t>1142309103</t>
  </si>
  <si>
    <t xml:space="preserve"> TOUGBO  </t>
  </si>
  <si>
    <t>HH4</t>
  </si>
  <si>
    <t>label_HH4</t>
  </si>
  <si>
    <t xml:space="preserve">Le trimestre T4-2025 est subdivisé en 13 semaines, si l'on considère que la semaine par du lundi au dimanche. Je veux que tu sudivise la semaine du T4-2025 est 13 semaines en precisant :
Semaine 1 : lundi 29 septembre 2025 - dimanche 5 octobre 2025
 </t>
  </si>
  <si>
    <t>Voici le prompte que j'ai tapé pour avoir DateJ7</t>
  </si>
  <si>
    <t>N_semaine</t>
  </si>
  <si>
    <t>SI(B2="Semaine 1";1;SI(B2="Semaine 2";2;SI(B2="Semaine 3";3;SI(B2="Semaine 4"; 4; SI(B2="Semaine 5";5;SI(B2="Semaine 6";6;SI(B2="Semaine 7";7;SI(B2="Semaine 8";8;SI(B2="Semaine 9";9;SI(B2="Semaine 10";10;SI(B2="Semaine 11";11;SI(B2="Semaine 12";12;SI(B2="Semaine 13";13)))))))))))))</t>
  </si>
  <si>
    <t>REGION</t>
  </si>
  <si>
    <t>ABIDJAN</t>
  </si>
  <si>
    <t>Ordre_passage_zd</t>
  </si>
  <si>
    <t>AUTRES REGIONS</t>
  </si>
  <si>
    <t>T1_2028</t>
  </si>
  <si>
    <t>T1_2029</t>
  </si>
  <si>
    <t>T1_2030</t>
  </si>
  <si>
    <t>Date_debut_sem_ref</t>
  </si>
  <si>
    <t>Date_fin_sem_ref</t>
  </si>
  <si>
    <t xml:space="preserve">Sur la base de ta comprension je souhaite que tu crée des Date1 et Date2 sous le format 05/01/2025 pour les 13 semaines que je vais te donné; Je veux aussi que tu cree deux colonnes ou tu donnera la date debut du lundi en format 05/01/2025 et une colonnes de date de fin du dimanche en en format 05/01/2025 pour chacune des 13 semaines du T4-2027
Monday 27 September 2027
Monday 4 October 2027
Monday 11 October 2027
Monday 18 October 2027
Monday 25 October 2027
Monday 1 November 2027
Monday 8 November 2027
Monday 15 November 2027
Monday 22 November 2027
Monday 29 November 2027
Monday 6 December 2027
Monday 13 December 2027
Monday 20 December 2027 </t>
  </si>
  <si>
    <t>Voici le prompte que j'ai tapé pour avoir les dates debut et fin des semaines de references</t>
  </si>
  <si>
    <t>T2_2028</t>
  </si>
  <si>
    <t>T2_2029</t>
  </si>
  <si>
    <t>T2_2030</t>
  </si>
  <si>
    <t>T3_2028</t>
  </si>
  <si>
    <t>T3_2029</t>
  </si>
  <si>
    <t>T3_2030</t>
  </si>
  <si>
    <t>T4_2028</t>
  </si>
  <si>
    <t>T4_2029</t>
  </si>
  <si>
    <t>T4_2030</t>
  </si>
  <si>
    <r>
      <t xml:space="preserve">Monday </t>
    </r>
    <r>
      <rPr>
        <b/>
        <sz val="11"/>
        <color theme="1"/>
        <rFont val="Aptos Narrow"/>
        <family val="2"/>
        <scheme val="minor"/>
      </rPr>
      <t>27 December 2027</t>
    </r>
  </si>
  <si>
    <r>
      <t xml:space="preserve">Monday </t>
    </r>
    <r>
      <rPr>
        <b/>
        <sz val="11"/>
        <color theme="1"/>
        <rFont val="Aptos Narrow"/>
        <family val="2"/>
        <scheme val="minor"/>
      </rPr>
      <t>3 January 2028</t>
    </r>
  </si>
  <si>
    <r>
      <t xml:space="preserve">Monday </t>
    </r>
    <r>
      <rPr>
        <b/>
        <sz val="11"/>
        <color theme="1"/>
        <rFont val="Aptos Narrow"/>
        <family val="2"/>
        <scheme val="minor"/>
      </rPr>
      <t>10 January 2028</t>
    </r>
  </si>
  <si>
    <r>
      <t xml:space="preserve">Monday </t>
    </r>
    <r>
      <rPr>
        <b/>
        <sz val="11"/>
        <color theme="1"/>
        <rFont val="Aptos Narrow"/>
        <family val="2"/>
        <scheme val="minor"/>
      </rPr>
      <t>17 January 2028</t>
    </r>
  </si>
  <si>
    <r>
      <t xml:space="preserve">Monday </t>
    </r>
    <r>
      <rPr>
        <b/>
        <sz val="11"/>
        <color theme="1"/>
        <rFont val="Aptos Narrow"/>
        <family val="2"/>
        <scheme val="minor"/>
      </rPr>
      <t>24 January 2028</t>
    </r>
  </si>
  <si>
    <r>
      <t xml:space="preserve">Monday </t>
    </r>
    <r>
      <rPr>
        <b/>
        <sz val="11"/>
        <color theme="1"/>
        <rFont val="Aptos Narrow"/>
        <family val="2"/>
        <scheme val="minor"/>
      </rPr>
      <t>31 January 2028</t>
    </r>
  </si>
  <si>
    <r>
      <t xml:space="preserve">Monday </t>
    </r>
    <r>
      <rPr>
        <b/>
        <sz val="11"/>
        <color theme="1"/>
        <rFont val="Aptos Narrow"/>
        <family val="2"/>
        <scheme val="minor"/>
      </rPr>
      <t>7 February 2028</t>
    </r>
  </si>
  <si>
    <r>
      <t xml:space="preserve">Monday </t>
    </r>
    <r>
      <rPr>
        <b/>
        <sz val="11"/>
        <color theme="1"/>
        <rFont val="Aptos Narrow"/>
        <family val="2"/>
        <scheme val="minor"/>
      </rPr>
      <t>14 February 2028</t>
    </r>
  </si>
  <si>
    <r>
      <t xml:space="preserve">Monday </t>
    </r>
    <r>
      <rPr>
        <b/>
        <sz val="11"/>
        <color theme="1"/>
        <rFont val="Aptos Narrow"/>
        <family val="2"/>
        <scheme val="minor"/>
      </rPr>
      <t>21 February 2028</t>
    </r>
  </si>
  <si>
    <r>
      <t xml:space="preserve">Monday </t>
    </r>
    <r>
      <rPr>
        <b/>
        <sz val="11"/>
        <color theme="1"/>
        <rFont val="Aptos Narrow"/>
        <family val="2"/>
        <scheme val="minor"/>
      </rPr>
      <t>28 February 2028</t>
    </r>
  </si>
  <si>
    <r>
      <t xml:space="preserve">Monday </t>
    </r>
    <r>
      <rPr>
        <b/>
        <sz val="11"/>
        <color theme="1"/>
        <rFont val="Aptos Narrow"/>
        <family val="2"/>
        <scheme val="minor"/>
      </rPr>
      <t>6 March 2028</t>
    </r>
  </si>
  <si>
    <r>
      <t xml:space="preserve">Monday </t>
    </r>
    <r>
      <rPr>
        <b/>
        <sz val="11"/>
        <color theme="1"/>
        <rFont val="Aptos Narrow"/>
        <family val="2"/>
        <scheme val="minor"/>
      </rPr>
      <t>13 March 2028</t>
    </r>
  </si>
  <si>
    <r>
      <t xml:space="preserve">Monday </t>
    </r>
    <r>
      <rPr>
        <b/>
        <sz val="11"/>
        <color theme="1"/>
        <rFont val="Aptos Narrow"/>
        <family val="2"/>
        <scheme val="minor"/>
      </rPr>
      <t>20 March 2028</t>
    </r>
  </si>
  <si>
    <r>
      <t xml:space="preserve">Monday </t>
    </r>
    <r>
      <rPr>
        <b/>
        <sz val="11"/>
        <color theme="1"/>
        <rFont val="Aptos Narrow"/>
        <family val="2"/>
        <scheme val="minor"/>
      </rPr>
      <t>27 March 2028</t>
    </r>
  </si>
  <si>
    <r>
      <t xml:space="preserve">Monday </t>
    </r>
    <r>
      <rPr>
        <b/>
        <sz val="11"/>
        <color theme="1"/>
        <rFont val="Aptos Narrow"/>
        <family val="2"/>
        <scheme val="minor"/>
      </rPr>
      <t>3 April 2028</t>
    </r>
  </si>
  <si>
    <r>
      <t xml:space="preserve">Monday </t>
    </r>
    <r>
      <rPr>
        <b/>
        <sz val="11"/>
        <color theme="1"/>
        <rFont val="Aptos Narrow"/>
        <family val="2"/>
        <scheme val="minor"/>
      </rPr>
      <t>10 April 2028</t>
    </r>
  </si>
  <si>
    <r>
      <t xml:space="preserve">Monday </t>
    </r>
    <r>
      <rPr>
        <b/>
        <sz val="11"/>
        <color theme="1"/>
        <rFont val="Aptos Narrow"/>
        <family val="2"/>
        <scheme val="minor"/>
      </rPr>
      <t>17 April 2028</t>
    </r>
  </si>
  <si>
    <r>
      <t xml:space="preserve">Monday </t>
    </r>
    <r>
      <rPr>
        <b/>
        <sz val="11"/>
        <color theme="1"/>
        <rFont val="Aptos Narrow"/>
        <family val="2"/>
        <scheme val="minor"/>
      </rPr>
      <t>24 April 2028</t>
    </r>
  </si>
  <si>
    <r>
      <t xml:space="preserve">Monday </t>
    </r>
    <r>
      <rPr>
        <b/>
        <sz val="11"/>
        <color theme="1"/>
        <rFont val="Aptos Narrow"/>
        <family val="2"/>
        <scheme val="minor"/>
      </rPr>
      <t>1 May 2028</t>
    </r>
  </si>
  <si>
    <r>
      <t xml:space="preserve">Monday </t>
    </r>
    <r>
      <rPr>
        <b/>
        <sz val="11"/>
        <color theme="1"/>
        <rFont val="Aptos Narrow"/>
        <family val="2"/>
        <scheme val="minor"/>
      </rPr>
      <t>8 May 2028</t>
    </r>
  </si>
  <si>
    <r>
      <t xml:space="preserve">Monday </t>
    </r>
    <r>
      <rPr>
        <b/>
        <sz val="11"/>
        <color theme="1"/>
        <rFont val="Aptos Narrow"/>
        <family val="2"/>
        <scheme val="minor"/>
      </rPr>
      <t>15 May 2028</t>
    </r>
  </si>
  <si>
    <r>
      <t xml:space="preserve">Monday </t>
    </r>
    <r>
      <rPr>
        <b/>
        <sz val="11"/>
        <color theme="1"/>
        <rFont val="Aptos Narrow"/>
        <family val="2"/>
        <scheme val="minor"/>
      </rPr>
      <t>22 May 2028</t>
    </r>
  </si>
  <si>
    <r>
      <t xml:space="preserve">Monday </t>
    </r>
    <r>
      <rPr>
        <b/>
        <sz val="11"/>
        <color theme="1"/>
        <rFont val="Aptos Narrow"/>
        <family val="2"/>
        <scheme val="minor"/>
      </rPr>
      <t>29 May 2028</t>
    </r>
  </si>
  <si>
    <r>
      <t xml:space="preserve">Monday </t>
    </r>
    <r>
      <rPr>
        <b/>
        <sz val="11"/>
        <color theme="1"/>
        <rFont val="Aptos Narrow"/>
        <family val="2"/>
        <scheme val="minor"/>
      </rPr>
      <t>5 June 2028</t>
    </r>
  </si>
  <si>
    <r>
      <t xml:space="preserve">Monday </t>
    </r>
    <r>
      <rPr>
        <b/>
        <sz val="11"/>
        <color theme="1"/>
        <rFont val="Aptos Narrow"/>
        <family val="2"/>
        <scheme val="minor"/>
      </rPr>
      <t>12 June 2028</t>
    </r>
  </si>
  <si>
    <r>
      <t xml:space="preserve">Monday </t>
    </r>
    <r>
      <rPr>
        <b/>
        <sz val="11"/>
        <color theme="1"/>
        <rFont val="Aptos Narrow"/>
        <family val="2"/>
        <scheme val="minor"/>
      </rPr>
      <t>19 June 2028</t>
    </r>
  </si>
  <si>
    <r>
      <t xml:space="preserve">Monday </t>
    </r>
    <r>
      <rPr>
        <b/>
        <sz val="11"/>
        <color theme="1"/>
        <rFont val="Aptos Narrow"/>
        <family val="2"/>
        <scheme val="minor"/>
      </rPr>
      <t>26 June 2028</t>
    </r>
  </si>
  <si>
    <r>
      <t xml:space="preserve">Monday </t>
    </r>
    <r>
      <rPr>
        <b/>
        <sz val="11"/>
        <color theme="1"/>
        <rFont val="Aptos Narrow"/>
        <family val="2"/>
        <scheme val="minor"/>
      </rPr>
      <t>3 July 2028</t>
    </r>
  </si>
  <si>
    <r>
      <t xml:space="preserve">Monday </t>
    </r>
    <r>
      <rPr>
        <b/>
        <sz val="11"/>
        <color theme="1"/>
        <rFont val="Aptos Narrow"/>
        <family val="2"/>
        <scheme val="minor"/>
      </rPr>
      <t>10 July 2028</t>
    </r>
  </si>
  <si>
    <r>
      <t xml:space="preserve">Monday </t>
    </r>
    <r>
      <rPr>
        <b/>
        <sz val="11"/>
        <color theme="1"/>
        <rFont val="Aptos Narrow"/>
        <family val="2"/>
        <scheme val="minor"/>
      </rPr>
      <t>17 July 2028</t>
    </r>
  </si>
  <si>
    <r>
      <t xml:space="preserve">Monday </t>
    </r>
    <r>
      <rPr>
        <b/>
        <sz val="11"/>
        <color theme="1"/>
        <rFont val="Aptos Narrow"/>
        <family val="2"/>
        <scheme val="minor"/>
      </rPr>
      <t>24 July 2028</t>
    </r>
  </si>
  <si>
    <r>
      <t xml:space="preserve">Monday </t>
    </r>
    <r>
      <rPr>
        <b/>
        <sz val="11"/>
        <color theme="1"/>
        <rFont val="Aptos Narrow"/>
        <family val="2"/>
        <scheme val="minor"/>
      </rPr>
      <t>31 July 2028</t>
    </r>
  </si>
  <si>
    <r>
      <t xml:space="preserve">Monday </t>
    </r>
    <r>
      <rPr>
        <b/>
        <sz val="11"/>
        <color theme="1"/>
        <rFont val="Aptos Narrow"/>
        <family val="2"/>
        <scheme val="minor"/>
      </rPr>
      <t>7 August 2028</t>
    </r>
  </si>
  <si>
    <r>
      <t xml:space="preserve">Monday </t>
    </r>
    <r>
      <rPr>
        <b/>
        <sz val="11"/>
        <color theme="1"/>
        <rFont val="Aptos Narrow"/>
        <family val="2"/>
        <scheme val="minor"/>
      </rPr>
      <t>14 August 2028</t>
    </r>
  </si>
  <si>
    <r>
      <t xml:space="preserve">Monday </t>
    </r>
    <r>
      <rPr>
        <b/>
        <sz val="11"/>
        <color theme="1"/>
        <rFont val="Aptos Narrow"/>
        <family val="2"/>
        <scheme val="minor"/>
      </rPr>
      <t>21 August 2028</t>
    </r>
  </si>
  <si>
    <r>
      <t xml:space="preserve">Monday </t>
    </r>
    <r>
      <rPr>
        <b/>
        <sz val="11"/>
        <color theme="1"/>
        <rFont val="Aptos Narrow"/>
        <family val="2"/>
        <scheme val="minor"/>
      </rPr>
      <t>28 August 2028</t>
    </r>
  </si>
  <si>
    <r>
      <t xml:space="preserve">Monday </t>
    </r>
    <r>
      <rPr>
        <b/>
        <sz val="11"/>
        <color theme="1"/>
        <rFont val="Aptos Narrow"/>
        <family val="2"/>
        <scheme val="minor"/>
      </rPr>
      <t>4 September 2028</t>
    </r>
  </si>
  <si>
    <r>
      <t xml:space="preserve">Monday </t>
    </r>
    <r>
      <rPr>
        <b/>
        <sz val="11"/>
        <color theme="1"/>
        <rFont val="Aptos Narrow"/>
        <family val="2"/>
        <scheme val="minor"/>
      </rPr>
      <t>11 September 2028</t>
    </r>
  </si>
  <si>
    <r>
      <t xml:space="preserve">Monday </t>
    </r>
    <r>
      <rPr>
        <b/>
        <sz val="11"/>
        <color theme="1"/>
        <rFont val="Aptos Narrow"/>
        <family val="2"/>
        <scheme val="minor"/>
      </rPr>
      <t>18 September 2028</t>
    </r>
  </si>
  <si>
    <r>
      <t xml:space="preserve">Monday </t>
    </r>
    <r>
      <rPr>
        <b/>
        <sz val="11"/>
        <color theme="1"/>
        <rFont val="Aptos Narrow"/>
        <family val="2"/>
        <scheme val="minor"/>
      </rPr>
      <t>25 September 2028</t>
    </r>
  </si>
  <si>
    <r>
      <t xml:space="preserve">Monday </t>
    </r>
    <r>
      <rPr>
        <b/>
        <sz val="11"/>
        <color theme="1"/>
        <rFont val="Aptos Narrow"/>
        <family val="2"/>
        <scheme val="minor"/>
      </rPr>
      <t>2 October 2028</t>
    </r>
  </si>
  <si>
    <r>
      <t xml:space="preserve">Monday </t>
    </r>
    <r>
      <rPr>
        <b/>
        <sz val="11"/>
        <color theme="1"/>
        <rFont val="Aptos Narrow"/>
        <family val="2"/>
        <scheme val="minor"/>
      </rPr>
      <t>9 October 2028</t>
    </r>
  </si>
  <si>
    <r>
      <t xml:space="preserve">Monday </t>
    </r>
    <r>
      <rPr>
        <b/>
        <sz val="11"/>
        <color theme="1"/>
        <rFont val="Aptos Narrow"/>
        <family val="2"/>
        <scheme val="minor"/>
      </rPr>
      <t>16 October 2028</t>
    </r>
  </si>
  <si>
    <r>
      <t xml:space="preserve">Monday </t>
    </r>
    <r>
      <rPr>
        <b/>
        <sz val="11"/>
        <color theme="1"/>
        <rFont val="Aptos Narrow"/>
        <family val="2"/>
        <scheme val="minor"/>
      </rPr>
      <t>23 October 2028</t>
    </r>
  </si>
  <si>
    <r>
      <t xml:space="preserve">Monday </t>
    </r>
    <r>
      <rPr>
        <b/>
        <sz val="11"/>
        <color theme="1"/>
        <rFont val="Aptos Narrow"/>
        <family val="2"/>
        <scheme val="minor"/>
      </rPr>
      <t>30 October 2028</t>
    </r>
  </si>
  <si>
    <r>
      <t xml:space="preserve">Monday </t>
    </r>
    <r>
      <rPr>
        <b/>
        <sz val="11"/>
        <color theme="1"/>
        <rFont val="Aptos Narrow"/>
        <family val="2"/>
        <scheme val="minor"/>
      </rPr>
      <t>6 November 2028</t>
    </r>
  </si>
  <si>
    <r>
      <t xml:space="preserve">Monday </t>
    </r>
    <r>
      <rPr>
        <b/>
        <sz val="11"/>
        <color theme="1"/>
        <rFont val="Aptos Narrow"/>
        <family val="2"/>
        <scheme val="minor"/>
      </rPr>
      <t>13 November 2028</t>
    </r>
  </si>
  <si>
    <r>
      <t xml:space="preserve">Monday </t>
    </r>
    <r>
      <rPr>
        <b/>
        <sz val="11"/>
        <color theme="1"/>
        <rFont val="Aptos Narrow"/>
        <family val="2"/>
        <scheme val="minor"/>
      </rPr>
      <t>20 November 2028</t>
    </r>
  </si>
  <si>
    <r>
      <t xml:space="preserve">Monday </t>
    </r>
    <r>
      <rPr>
        <b/>
        <sz val="11"/>
        <color theme="1"/>
        <rFont val="Aptos Narrow"/>
        <family val="2"/>
        <scheme val="minor"/>
      </rPr>
      <t>27 November 2028</t>
    </r>
  </si>
  <si>
    <r>
      <t xml:space="preserve">Monday </t>
    </r>
    <r>
      <rPr>
        <b/>
        <sz val="11"/>
        <color theme="1"/>
        <rFont val="Aptos Narrow"/>
        <family val="2"/>
        <scheme val="minor"/>
      </rPr>
      <t>4 December 2028</t>
    </r>
  </si>
  <si>
    <r>
      <t xml:space="preserve">Monday </t>
    </r>
    <r>
      <rPr>
        <b/>
        <sz val="11"/>
        <color theme="1"/>
        <rFont val="Aptos Narrow"/>
        <family val="2"/>
        <scheme val="minor"/>
      </rPr>
      <t>11 December 2028</t>
    </r>
  </si>
  <si>
    <r>
      <t xml:space="preserve">Monday </t>
    </r>
    <r>
      <rPr>
        <b/>
        <sz val="11"/>
        <color theme="1"/>
        <rFont val="Aptos Narrow"/>
        <family val="2"/>
        <scheme val="minor"/>
      </rPr>
      <t>18 December 2028</t>
    </r>
  </si>
  <si>
    <r>
      <t xml:space="preserve">Monday </t>
    </r>
    <r>
      <rPr>
        <b/>
        <sz val="11"/>
        <color theme="1"/>
        <rFont val="Aptos Narrow"/>
        <family val="2"/>
        <scheme val="minor"/>
      </rPr>
      <t>25 December 2028</t>
    </r>
  </si>
  <si>
    <r>
      <t xml:space="preserve">Monday </t>
    </r>
    <r>
      <rPr>
        <b/>
        <sz val="11"/>
        <color theme="1"/>
        <rFont val="Aptos Narrow"/>
        <family val="2"/>
        <scheme val="minor"/>
      </rPr>
      <t>1 January 2029</t>
    </r>
  </si>
  <si>
    <r>
      <t xml:space="preserve">Monday </t>
    </r>
    <r>
      <rPr>
        <b/>
        <sz val="11"/>
        <color theme="1"/>
        <rFont val="Aptos Narrow"/>
        <family val="2"/>
        <scheme val="minor"/>
      </rPr>
      <t>8 January 2029</t>
    </r>
  </si>
  <si>
    <r>
      <t xml:space="preserve">Monday </t>
    </r>
    <r>
      <rPr>
        <b/>
        <sz val="11"/>
        <color theme="1"/>
        <rFont val="Aptos Narrow"/>
        <family val="2"/>
        <scheme val="minor"/>
      </rPr>
      <t>15 January 2029</t>
    </r>
  </si>
  <si>
    <r>
      <t xml:space="preserve">Monday </t>
    </r>
    <r>
      <rPr>
        <b/>
        <sz val="11"/>
        <color theme="1"/>
        <rFont val="Aptos Narrow"/>
        <family val="2"/>
        <scheme val="minor"/>
      </rPr>
      <t>22 January 2029</t>
    </r>
  </si>
  <si>
    <r>
      <t xml:space="preserve">Monday </t>
    </r>
    <r>
      <rPr>
        <b/>
        <sz val="11"/>
        <color theme="1"/>
        <rFont val="Aptos Narrow"/>
        <family val="2"/>
        <scheme val="minor"/>
      </rPr>
      <t>29 January 2029</t>
    </r>
  </si>
  <si>
    <r>
      <t xml:space="preserve">Monday </t>
    </r>
    <r>
      <rPr>
        <b/>
        <sz val="11"/>
        <color theme="1"/>
        <rFont val="Aptos Narrow"/>
        <family val="2"/>
        <scheme val="minor"/>
      </rPr>
      <t>5 February 2029</t>
    </r>
  </si>
  <si>
    <r>
      <t xml:space="preserve">Monday </t>
    </r>
    <r>
      <rPr>
        <b/>
        <sz val="11"/>
        <color theme="1"/>
        <rFont val="Aptos Narrow"/>
        <family val="2"/>
        <scheme val="minor"/>
      </rPr>
      <t>12 February 2029</t>
    </r>
  </si>
  <si>
    <r>
      <t xml:space="preserve">Monday </t>
    </r>
    <r>
      <rPr>
        <b/>
        <sz val="11"/>
        <color theme="1"/>
        <rFont val="Aptos Narrow"/>
        <family val="2"/>
        <scheme val="minor"/>
      </rPr>
      <t>19 February 2029</t>
    </r>
  </si>
  <si>
    <r>
      <t xml:space="preserve">Monday </t>
    </r>
    <r>
      <rPr>
        <b/>
        <sz val="11"/>
        <color theme="1"/>
        <rFont val="Aptos Narrow"/>
        <family val="2"/>
        <scheme val="minor"/>
      </rPr>
      <t>26 February 2029</t>
    </r>
  </si>
  <si>
    <r>
      <t xml:space="preserve">Monday </t>
    </r>
    <r>
      <rPr>
        <b/>
        <sz val="11"/>
        <color theme="1"/>
        <rFont val="Aptos Narrow"/>
        <family val="2"/>
        <scheme val="minor"/>
      </rPr>
      <t>5 March 2029</t>
    </r>
  </si>
  <si>
    <r>
      <t xml:space="preserve">Monday </t>
    </r>
    <r>
      <rPr>
        <b/>
        <sz val="11"/>
        <color theme="1"/>
        <rFont val="Aptos Narrow"/>
        <family val="2"/>
        <scheme val="minor"/>
      </rPr>
      <t>12 March 2029</t>
    </r>
  </si>
  <si>
    <r>
      <t xml:space="preserve">Monday </t>
    </r>
    <r>
      <rPr>
        <b/>
        <sz val="11"/>
        <color theme="1"/>
        <rFont val="Aptos Narrow"/>
        <family val="2"/>
        <scheme val="minor"/>
      </rPr>
      <t>19 March 2029</t>
    </r>
  </si>
  <si>
    <r>
      <t xml:space="preserve">Monday </t>
    </r>
    <r>
      <rPr>
        <b/>
        <sz val="11"/>
        <color theme="1"/>
        <rFont val="Aptos Narrow"/>
        <family val="2"/>
        <scheme val="minor"/>
      </rPr>
      <t>26 March 2029</t>
    </r>
  </si>
  <si>
    <r>
      <t xml:space="preserve">Monday </t>
    </r>
    <r>
      <rPr>
        <b/>
        <sz val="11"/>
        <color theme="1"/>
        <rFont val="Aptos Narrow"/>
        <family val="2"/>
        <scheme val="minor"/>
      </rPr>
      <t>2 April 2029</t>
    </r>
  </si>
  <si>
    <r>
      <t xml:space="preserve">Monday </t>
    </r>
    <r>
      <rPr>
        <b/>
        <sz val="11"/>
        <color theme="1"/>
        <rFont val="Aptos Narrow"/>
        <family val="2"/>
        <scheme val="minor"/>
      </rPr>
      <t>9 April 2029</t>
    </r>
  </si>
  <si>
    <r>
      <t xml:space="preserve">Monday </t>
    </r>
    <r>
      <rPr>
        <b/>
        <sz val="11"/>
        <color theme="1"/>
        <rFont val="Aptos Narrow"/>
        <family val="2"/>
        <scheme val="minor"/>
      </rPr>
      <t>16 April 2029</t>
    </r>
  </si>
  <si>
    <r>
      <t xml:space="preserve">Monday </t>
    </r>
    <r>
      <rPr>
        <b/>
        <sz val="11"/>
        <color theme="1"/>
        <rFont val="Aptos Narrow"/>
        <family val="2"/>
        <scheme val="minor"/>
      </rPr>
      <t>23 April 2029</t>
    </r>
  </si>
  <si>
    <r>
      <t xml:space="preserve">Monday </t>
    </r>
    <r>
      <rPr>
        <b/>
        <sz val="11"/>
        <color theme="1"/>
        <rFont val="Aptos Narrow"/>
        <family val="2"/>
        <scheme val="minor"/>
      </rPr>
      <t>30 April 2029</t>
    </r>
  </si>
  <si>
    <r>
      <t xml:space="preserve">Monday </t>
    </r>
    <r>
      <rPr>
        <b/>
        <sz val="11"/>
        <color theme="1"/>
        <rFont val="Aptos Narrow"/>
        <family val="2"/>
        <scheme val="minor"/>
      </rPr>
      <t>7 May 2029</t>
    </r>
  </si>
  <si>
    <r>
      <t xml:space="preserve">Monday </t>
    </r>
    <r>
      <rPr>
        <b/>
        <sz val="11"/>
        <color theme="1"/>
        <rFont val="Aptos Narrow"/>
        <family val="2"/>
        <scheme val="minor"/>
      </rPr>
      <t>14 May 2029</t>
    </r>
  </si>
  <si>
    <r>
      <t xml:space="preserve">Monday </t>
    </r>
    <r>
      <rPr>
        <b/>
        <sz val="11"/>
        <color theme="1"/>
        <rFont val="Aptos Narrow"/>
        <family val="2"/>
        <scheme val="minor"/>
      </rPr>
      <t>21 May 2029</t>
    </r>
  </si>
  <si>
    <r>
      <t xml:space="preserve">Monday </t>
    </r>
    <r>
      <rPr>
        <b/>
        <sz val="11"/>
        <color theme="1"/>
        <rFont val="Aptos Narrow"/>
        <family val="2"/>
        <scheme val="minor"/>
      </rPr>
      <t>28 May 2029</t>
    </r>
  </si>
  <si>
    <r>
      <t xml:space="preserve">Monday </t>
    </r>
    <r>
      <rPr>
        <b/>
        <sz val="11"/>
        <color theme="1"/>
        <rFont val="Aptos Narrow"/>
        <family val="2"/>
        <scheme val="minor"/>
      </rPr>
      <t>4 June 2029</t>
    </r>
  </si>
  <si>
    <r>
      <t xml:space="preserve">Monday </t>
    </r>
    <r>
      <rPr>
        <b/>
        <sz val="11"/>
        <color theme="1"/>
        <rFont val="Aptos Narrow"/>
        <family val="2"/>
        <scheme val="minor"/>
      </rPr>
      <t>11 June 2029</t>
    </r>
  </si>
  <si>
    <r>
      <t xml:space="preserve">Monday </t>
    </r>
    <r>
      <rPr>
        <b/>
        <sz val="11"/>
        <color theme="1"/>
        <rFont val="Aptos Narrow"/>
        <family val="2"/>
        <scheme val="minor"/>
      </rPr>
      <t>18 June 2029</t>
    </r>
  </si>
  <si>
    <r>
      <t xml:space="preserve">Monday </t>
    </r>
    <r>
      <rPr>
        <b/>
        <sz val="11"/>
        <color theme="1"/>
        <rFont val="Aptos Narrow"/>
        <family val="2"/>
        <scheme val="minor"/>
      </rPr>
      <t>25 June 2029</t>
    </r>
  </si>
  <si>
    <r>
      <t xml:space="preserve">Monday </t>
    </r>
    <r>
      <rPr>
        <b/>
        <sz val="11"/>
        <color theme="1"/>
        <rFont val="Aptos Narrow"/>
        <family val="2"/>
        <scheme val="minor"/>
      </rPr>
      <t>2 July 2029</t>
    </r>
  </si>
  <si>
    <r>
      <t xml:space="preserve">Monday </t>
    </r>
    <r>
      <rPr>
        <b/>
        <sz val="11"/>
        <color theme="1"/>
        <rFont val="Aptos Narrow"/>
        <family val="2"/>
        <scheme val="minor"/>
      </rPr>
      <t>9 July 2029</t>
    </r>
  </si>
  <si>
    <r>
      <t xml:space="preserve">Monday </t>
    </r>
    <r>
      <rPr>
        <b/>
        <sz val="11"/>
        <color theme="1"/>
        <rFont val="Aptos Narrow"/>
        <family val="2"/>
        <scheme val="minor"/>
      </rPr>
      <t>16 July 2029</t>
    </r>
  </si>
  <si>
    <r>
      <t xml:space="preserve">Monday </t>
    </r>
    <r>
      <rPr>
        <b/>
        <sz val="11"/>
        <color theme="1"/>
        <rFont val="Aptos Narrow"/>
        <family val="2"/>
        <scheme val="minor"/>
      </rPr>
      <t>23 July 2029</t>
    </r>
  </si>
  <si>
    <r>
      <t xml:space="preserve">Monday </t>
    </r>
    <r>
      <rPr>
        <b/>
        <sz val="11"/>
        <color theme="1"/>
        <rFont val="Aptos Narrow"/>
        <family val="2"/>
        <scheme val="minor"/>
      </rPr>
      <t>30 July 2029</t>
    </r>
  </si>
  <si>
    <r>
      <t xml:space="preserve">Monday </t>
    </r>
    <r>
      <rPr>
        <b/>
        <sz val="11"/>
        <color theme="1"/>
        <rFont val="Aptos Narrow"/>
        <family val="2"/>
        <scheme val="minor"/>
      </rPr>
      <t>6 August 2029</t>
    </r>
  </si>
  <si>
    <r>
      <t xml:space="preserve">Monday </t>
    </r>
    <r>
      <rPr>
        <b/>
        <sz val="11"/>
        <color theme="1"/>
        <rFont val="Aptos Narrow"/>
        <family val="2"/>
        <scheme val="minor"/>
      </rPr>
      <t>13 August 2029</t>
    </r>
  </si>
  <si>
    <r>
      <t xml:space="preserve">Monday </t>
    </r>
    <r>
      <rPr>
        <b/>
        <sz val="11"/>
        <color theme="1"/>
        <rFont val="Aptos Narrow"/>
        <family val="2"/>
        <scheme val="minor"/>
      </rPr>
      <t>20 August 2029</t>
    </r>
  </si>
  <si>
    <r>
      <t xml:space="preserve">Monday </t>
    </r>
    <r>
      <rPr>
        <b/>
        <sz val="11"/>
        <color theme="1"/>
        <rFont val="Aptos Narrow"/>
        <family val="2"/>
        <scheme val="minor"/>
      </rPr>
      <t>27 August 2029</t>
    </r>
  </si>
  <si>
    <r>
      <t xml:space="preserve">Monday </t>
    </r>
    <r>
      <rPr>
        <b/>
        <sz val="11"/>
        <color theme="1"/>
        <rFont val="Aptos Narrow"/>
        <family val="2"/>
        <scheme val="minor"/>
      </rPr>
      <t>3 September 2029</t>
    </r>
  </si>
  <si>
    <r>
      <t xml:space="preserve">Monday </t>
    </r>
    <r>
      <rPr>
        <b/>
        <sz val="11"/>
        <color theme="1"/>
        <rFont val="Aptos Narrow"/>
        <family val="2"/>
        <scheme val="minor"/>
      </rPr>
      <t>10 September 2029</t>
    </r>
  </si>
  <si>
    <r>
      <t xml:space="preserve">Monday </t>
    </r>
    <r>
      <rPr>
        <b/>
        <sz val="11"/>
        <color theme="1"/>
        <rFont val="Aptos Narrow"/>
        <family val="2"/>
        <scheme val="minor"/>
      </rPr>
      <t>17 September 2029</t>
    </r>
  </si>
  <si>
    <t>Monday 1 October 2029</t>
  </si>
  <si>
    <t>Monday 8 October 2029</t>
  </si>
  <si>
    <t>Monday 15 October 2029</t>
  </si>
  <si>
    <t>Monday 22 October 2029</t>
  </si>
  <si>
    <t>Monday 29 October 2029</t>
  </si>
  <si>
    <t>Monday 5 November 2029</t>
  </si>
  <si>
    <t>Monday 12 November 2029</t>
  </si>
  <si>
    <t>Monday 19 November 2029</t>
  </si>
  <si>
    <t>Monday 26 November 2029</t>
  </si>
  <si>
    <t>Monday 3 December 2029</t>
  </si>
  <si>
    <t>Monday 10 December 2029</t>
  </si>
  <si>
    <t>Monday 17 December 2029</t>
  </si>
  <si>
    <t>Monday 24 December 2029</t>
  </si>
  <si>
    <t>Monday 31 December 2029</t>
  </si>
  <si>
    <t>Monday 7 January 2030</t>
  </si>
  <si>
    <t>Monday 14 January 2030</t>
  </si>
  <si>
    <t>Monday 21 January 2030</t>
  </si>
  <si>
    <t>Monday 28 January 2030</t>
  </si>
  <si>
    <t>Monday 4 February 2030</t>
  </si>
  <si>
    <t>Monday 11 February 2030</t>
  </si>
  <si>
    <t>Monday 18 February 2030</t>
  </si>
  <si>
    <t>Monday 25 February 2030</t>
  </si>
  <si>
    <t>Monday 4 March 2030</t>
  </si>
  <si>
    <t>Monday 11 March 2030</t>
  </si>
  <si>
    <t>Monday 18 March 2030</t>
  </si>
  <si>
    <t>Monday 25 March 2030</t>
  </si>
  <si>
    <t>Monday 1 April 2030</t>
  </si>
  <si>
    <t>Monday 8 April 2030</t>
  </si>
  <si>
    <t>Monday 15 April 2030</t>
  </si>
  <si>
    <t>Monday 22 April 2030</t>
  </si>
  <si>
    <t>Monday 29 April 2030</t>
  </si>
  <si>
    <t>Monday 6 May 2030</t>
  </si>
  <si>
    <t>Monday 13 May 2030</t>
  </si>
  <si>
    <t>Monday 20 May 2030</t>
  </si>
  <si>
    <t>Monday 27 May 2030</t>
  </si>
  <si>
    <t>Monday 3 June 2030</t>
  </si>
  <si>
    <t>Monday 10 June 2030</t>
  </si>
  <si>
    <t>Monday 17 June 2030</t>
  </si>
  <si>
    <t>Monday 24 June 2030</t>
  </si>
  <si>
    <t>Monday 1 July 2030</t>
  </si>
  <si>
    <t>Monday 8 July 2030</t>
  </si>
  <si>
    <t>Monday 15 July 2030</t>
  </si>
  <si>
    <t>Monday 22 July 2030</t>
  </si>
  <si>
    <t>Monday 29 July 2030</t>
  </si>
  <si>
    <t>Monday 5 August 2030</t>
  </si>
  <si>
    <t>Monday 12 August 2030</t>
  </si>
  <si>
    <t>Monday 19 August 2030</t>
  </si>
  <si>
    <t>Monday 26 August 2030</t>
  </si>
  <si>
    <t>Monday 2 September 2030</t>
  </si>
  <si>
    <t>Monday 9 September 2030</t>
  </si>
  <si>
    <t>Monday 16 September 2030</t>
  </si>
  <si>
    <t>Monday 30 September 2030</t>
  </si>
  <si>
    <t>Monday 7 October 2030</t>
  </si>
  <si>
    <t>Monday 14 October 2030</t>
  </si>
  <si>
    <t>Monday 21 October 2030</t>
  </si>
  <si>
    <t>Monday 28 October 2030</t>
  </si>
  <si>
    <t>Monday 4 November 2030</t>
  </si>
  <si>
    <t>Monday 11 November 2030</t>
  </si>
  <si>
    <t>Monday 18 November 2030</t>
  </si>
  <si>
    <t>Monday 25 November 2030</t>
  </si>
  <si>
    <t>Monday 2 December 2030</t>
  </si>
  <si>
    <t>Monday 9 December 2030</t>
  </si>
  <si>
    <t>Monday 16 December 2030</t>
  </si>
  <si>
    <t>Monday 23 December 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</si>
</sst>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4" fontId="0" fillId="0" borderId="0" xfId="0" applyNumberFormat="1"/>
    <xf numFmtId="1"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0" fontId="1" fillId="0" borderId="0" xfId="0" applyFont="1" applyAlignment="1">
      <alignment horizontal="center" vertical="center" wrapText="1"/>
    </xf>
    <xf numFmtId="0" fontId="0" fillId="0" borderId="0" xfId="0" applyAlignment="1">
      <alignment wrapText="1"/>
    </xf>
    <xf numFmtId="0" fontId="0" fillId="0" borderId="0" xfId="0" applyAlignment="1">
      <alignment horizontal="left"/>
    </xf>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F8B40-E2FE-4AA8-BC0C-BCED1912F5B6}">
  <dimension ref="A1:N404"/>
  <sheetViews>
    <sheetView topLeftCell="A345" workbookViewId="0">
      <selection activeCell="C360" sqref="C360:C372"/>
    </sheetView>
  </sheetViews>
  <sheetFormatPr baseColWidth="10" defaultRowHeight="14.5" x14ac:dyDescent="0.35"/>
  <cols>
    <col min="2" max="2" width="15" bestFit="1" customWidth="1"/>
    <col min="3" max="3" width="23.1796875" bestFit="1" customWidth="1"/>
    <col min="4" max="5" width="23.1796875" customWidth="1"/>
    <col min="6" max="6" width="19.453125" bestFit="1" customWidth="1"/>
    <col min="7" max="7" width="17" bestFit="1" customWidth="1"/>
    <col min="8" max="8" width="17.90625" bestFit="1" customWidth="1"/>
    <col min="9" max="9" width="23.1796875" bestFit="1" customWidth="1"/>
    <col min="10" max="10" width="26.26953125" bestFit="1" customWidth="1"/>
    <col min="12" max="12" width="26.453125" customWidth="1"/>
  </cols>
  <sheetData>
    <row r="1" spans="1:9" x14ac:dyDescent="0.35">
      <c r="A1" t="s">
        <v>0</v>
      </c>
      <c r="B1" t="s">
        <v>1</v>
      </c>
      <c r="C1" t="s">
        <v>2</v>
      </c>
      <c r="D1" t="s">
        <v>1470</v>
      </c>
      <c r="E1" t="s">
        <v>1471</v>
      </c>
      <c r="F1" t="s">
        <v>139</v>
      </c>
      <c r="G1" t="s">
        <v>140</v>
      </c>
      <c r="H1" t="s">
        <v>1461</v>
      </c>
    </row>
    <row r="2" spans="1:9" x14ac:dyDescent="0.35">
      <c r="A2" t="s">
        <v>102</v>
      </c>
      <c r="B2" t="s">
        <v>6</v>
      </c>
      <c r="C2" t="s">
        <v>3</v>
      </c>
      <c r="D2" s="5">
        <v>45383</v>
      </c>
      <c r="E2" s="5">
        <v>45389</v>
      </c>
      <c r="F2" s="5">
        <v>45382</v>
      </c>
      <c r="G2" s="5">
        <v>45389</v>
      </c>
      <c r="H2">
        <v>1</v>
      </c>
      <c r="I2" s="1"/>
    </row>
    <row r="3" spans="1:9" x14ac:dyDescent="0.35">
      <c r="A3" t="s">
        <v>102</v>
      </c>
      <c r="B3" t="s">
        <v>7</v>
      </c>
      <c r="C3" t="s">
        <v>5</v>
      </c>
      <c r="D3" s="5">
        <v>45390</v>
      </c>
      <c r="E3" s="5">
        <v>45396</v>
      </c>
      <c r="F3" s="5">
        <v>45382</v>
      </c>
      <c r="G3" s="5">
        <v>45389</v>
      </c>
      <c r="H3">
        <v>2</v>
      </c>
      <c r="I3" s="1"/>
    </row>
    <row r="4" spans="1:9" x14ac:dyDescent="0.35">
      <c r="A4" t="s">
        <v>102</v>
      </c>
      <c r="B4" t="s">
        <v>8</v>
      </c>
      <c r="C4" t="s">
        <v>19</v>
      </c>
      <c r="D4" s="5">
        <v>45397</v>
      </c>
      <c r="E4" s="5">
        <v>45403</v>
      </c>
      <c r="F4" s="5">
        <v>45396</v>
      </c>
      <c r="G4" s="5">
        <v>45403</v>
      </c>
      <c r="H4">
        <v>3</v>
      </c>
      <c r="I4" s="1"/>
    </row>
    <row r="5" spans="1:9" x14ac:dyDescent="0.35">
      <c r="A5" t="s">
        <v>102</v>
      </c>
      <c r="B5" t="s">
        <v>9</v>
      </c>
      <c r="C5" t="s">
        <v>20</v>
      </c>
      <c r="D5" s="5">
        <v>45404</v>
      </c>
      <c r="E5" s="5">
        <v>45410</v>
      </c>
      <c r="F5" s="5">
        <v>45396</v>
      </c>
      <c r="G5" s="5">
        <v>45403</v>
      </c>
      <c r="H5">
        <v>4</v>
      </c>
      <c r="I5" s="1"/>
    </row>
    <row r="6" spans="1:9" x14ac:dyDescent="0.35">
      <c r="A6" t="s">
        <v>102</v>
      </c>
      <c r="B6" t="s">
        <v>10</v>
      </c>
      <c r="C6" t="s">
        <v>21</v>
      </c>
      <c r="D6" s="5">
        <v>45411</v>
      </c>
      <c r="E6" s="5">
        <v>45417</v>
      </c>
      <c r="F6" s="5">
        <v>45410</v>
      </c>
      <c r="G6" s="5">
        <v>45417</v>
      </c>
      <c r="H6">
        <v>5</v>
      </c>
      <c r="I6" s="1"/>
    </row>
    <row r="7" spans="1:9" x14ac:dyDescent="0.35">
      <c r="A7" t="s">
        <v>102</v>
      </c>
      <c r="B7" t="s">
        <v>11</v>
      </c>
      <c r="C7" t="s">
        <v>22</v>
      </c>
      <c r="D7" s="5">
        <v>45418</v>
      </c>
      <c r="E7" s="5">
        <v>45424</v>
      </c>
      <c r="F7" s="5">
        <v>45410</v>
      </c>
      <c r="G7" s="5">
        <v>45417</v>
      </c>
      <c r="H7">
        <v>6</v>
      </c>
      <c r="I7" s="1"/>
    </row>
    <row r="8" spans="1:9" x14ac:dyDescent="0.35">
      <c r="A8" t="s">
        <v>102</v>
      </c>
      <c r="B8" t="s">
        <v>12</v>
      </c>
      <c r="C8" t="s">
        <v>23</v>
      </c>
      <c r="D8" s="5">
        <v>45425</v>
      </c>
      <c r="E8" s="5">
        <v>45431</v>
      </c>
      <c r="F8" s="5">
        <v>45424</v>
      </c>
      <c r="G8" s="5">
        <v>45431</v>
      </c>
      <c r="H8">
        <v>7</v>
      </c>
      <c r="I8" s="1"/>
    </row>
    <row r="9" spans="1:9" x14ac:dyDescent="0.35">
      <c r="A9" t="s">
        <v>102</v>
      </c>
      <c r="B9" t="s">
        <v>13</v>
      </c>
      <c r="C9" t="s">
        <v>24</v>
      </c>
      <c r="D9" s="5">
        <v>45432</v>
      </c>
      <c r="E9" s="5">
        <v>45438</v>
      </c>
      <c r="F9" s="5">
        <v>45424</v>
      </c>
      <c r="G9" s="5">
        <v>45431</v>
      </c>
      <c r="H9">
        <v>8</v>
      </c>
      <c r="I9" s="1"/>
    </row>
    <row r="10" spans="1:9" x14ac:dyDescent="0.35">
      <c r="A10" t="s">
        <v>102</v>
      </c>
      <c r="B10" t="s">
        <v>14</v>
      </c>
      <c r="C10" t="s">
        <v>25</v>
      </c>
      <c r="D10" s="5">
        <v>45439</v>
      </c>
      <c r="E10" s="5">
        <v>45445</v>
      </c>
      <c r="F10" s="5">
        <v>45438</v>
      </c>
      <c r="G10" s="5">
        <v>45445</v>
      </c>
      <c r="H10">
        <v>9</v>
      </c>
      <c r="I10" s="1"/>
    </row>
    <row r="11" spans="1:9" x14ac:dyDescent="0.35">
      <c r="A11" t="s">
        <v>102</v>
      </c>
      <c r="B11" t="s">
        <v>15</v>
      </c>
      <c r="C11" t="s">
        <v>26</v>
      </c>
      <c r="D11" s="5">
        <v>45446</v>
      </c>
      <c r="E11" s="5">
        <v>45452</v>
      </c>
      <c r="F11" s="5">
        <v>45438</v>
      </c>
      <c r="G11" s="5">
        <v>45445</v>
      </c>
      <c r="H11">
        <v>10</v>
      </c>
      <c r="I11" s="1"/>
    </row>
    <row r="12" spans="1:9" x14ac:dyDescent="0.35">
      <c r="A12" t="s">
        <v>102</v>
      </c>
      <c r="B12" t="s">
        <v>16</v>
      </c>
      <c r="C12" t="s">
        <v>27</v>
      </c>
      <c r="D12" s="5">
        <v>45453</v>
      </c>
      <c r="E12" s="5">
        <v>45459</v>
      </c>
      <c r="F12" s="5">
        <v>45452</v>
      </c>
      <c r="G12" s="5">
        <v>45459</v>
      </c>
      <c r="H12">
        <v>11</v>
      </c>
      <c r="I12" s="1"/>
    </row>
    <row r="13" spans="1:9" x14ac:dyDescent="0.35">
      <c r="A13" t="s">
        <v>102</v>
      </c>
      <c r="B13" t="s">
        <v>17</v>
      </c>
      <c r="C13" t="s">
        <v>28</v>
      </c>
      <c r="D13" s="5">
        <v>45460</v>
      </c>
      <c r="E13" s="5">
        <v>45466</v>
      </c>
      <c r="F13" s="5">
        <v>45452</v>
      </c>
      <c r="G13" s="5">
        <v>45459</v>
      </c>
      <c r="H13">
        <v>12</v>
      </c>
      <c r="I13" s="1"/>
    </row>
    <row r="14" spans="1:9" x14ac:dyDescent="0.35">
      <c r="A14" t="s">
        <v>102</v>
      </c>
      <c r="B14" t="s">
        <v>18</v>
      </c>
      <c r="C14" t="s">
        <v>29</v>
      </c>
      <c r="D14" s="5">
        <v>45467</v>
      </c>
      <c r="E14" s="5">
        <v>45473</v>
      </c>
      <c r="F14" s="5">
        <v>45473</v>
      </c>
      <c r="G14" s="5">
        <v>45473</v>
      </c>
      <c r="H14">
        <v>13</v>
      </c>
    </row>
    <row r="15" spans="1:9" x14ac:dyDescent="0.35">
      <c r="A15" t="s">
        <v>102</v>
      </c>
      <c r="B15" t="s">
        <v>18</v>
      </c>
      <c r="C15" t="s">
        <v>4</v>
      </c>
      <c r="D15" s="5"/>
      <c r="E15" s="5"/>
      <c r="F15" s="5">
        <v>45473</v>
      </c>
      <c r="G15" s="5">
        <v>45473</v>
      </c>
      <c r="H15">
        <v>13</v>
      </c>
    </row>
    <row r="16" spans="1:9" x14ac:dyDescent="0.35">
      <c r="A16" t="s">
        <v>104</v>
      </c>
      <c r="B16" t="s">
        <v>15</v>
      </c>
      <c r="C16" t="s">
        <v>27</v>
      </c>
      <c r="F16" s="2">
        <v>45529</v>
      </c>
      <c r="G16" s="2">
        <v>45536</v>
      </c>
      <c r="H16">
        <v>10</v>
      </c>
    </row>
    <row r="17" spans="1:10" x14ac:dyDescent="0.35">
      <c r="A17" t="s">
        <v>104</v>
      </c>
      <c r="B17" t="s">
        <v>12</v>
      </c>
      <c r="C17" t="s">
        <v>23</v>
      </c>
      <c r="F17" s="2">
        <v>45515</v>
      </c>
      <c r="G17" s="2">
        <v>45522</v>
      </c>
      <c r="H17">
        <v>7</v>
      </c>
    </row>
    <row r="18" spans="1:10" x14ac:dyDescent="0.35">
      <c r="A18" t="s">
        <v>104</v>
      </c>
      <c r="B18" t="s">
        <v>8</v>
      </c>
      <c r="C18" t="s">
        <v>19</v>
      </c>
      <c r="F18" s="2">
        <v>45487</v>
      </c>
      <c r="G18" s="2">
        <v>45494</v>
      </c>
      <c r="H18">
        <v>3</v>
      </c>
    </row>
    <row r="19" spans="1:10" x14ac:dyDescent="0.35">
      <c r="A19" t="s">
        <v>104</v>
      </c>
      <c r="B19" t="s">
        <v>17</v>
      </c>
      <c r="C19" t="s">
        <v>28</v>
      </c>
      <c r="F19" s="2">
        <v>45543</v>
      </c>
      <c r="G19" s="2">
        <v>45550</v>
      </c>
      <c r="H19">
        <v>12</v>
      </c>
    </row>
    <row r="20" spans="1:10" x14ac:dyDescent="0.35">
      <c r="A20" t="s">
        <v>104</v>
      </c>
      <c r="B20" t="s">
        <v>13</v>
      </c>
      <c r="C20" t="s">
        <v>24</v>
      </c>
      <c r="F20" s="2">
        <v>45515</v>
      </c>
      <c r="G20" s="2">
        <v>45522</v>
      </c>
      <c r="H20">
        <v>8</v>
      </c>
    </row>
    <row r="21" spans="1:10" x14ac:dyDescent="0.35">
      <c r="A21" t="s">
        <v>104</v>
      </c>
      <c r="B21" t="s">
        <v>9</v>
      </c>
      <c r="C21" t="s">
        <v>20</v>
      </c>
      <c r="F21" s="2">
        <v>45487</v>
      </c>
      <c r="G21" s="2">
        <v>45494</v>
      </c>
      <c r="H21">
        <v>4</v>
      </c>
    </row>
    <row r="22" spans="1:10" x14ac:dyDescent="0.35">
      <c r="A22" t="s">
        <v>104</v>
      </c>
      <c r="B22" t="s">
        <v>18</v>
      </c>
      <c r="C22" t="s">
        <v>29</v>
      </c>
      <c r="F22" s="2">
        <v>45564</v>
      </c>
      <c r="G22" s="2">
        <v>45564</v>
      </c>
      <c r="H22">
        <v>13</v>
      </c>
    </row>
    <row r="23" spans="1:10" x14ac:dyDescent="0.35">
      <c r="A23" t="s">
        <v>104</v>
      </c>
      <c r="B23" t="s">
        <v>14</v>
      </c>
      <c r="C23" t="s">
        <v>25</v>
      </c>
      <c r="F23" s="2">
        <v>45529</v>
      </c>
      <c r="G23" s="2">
        <v>45536</v>
      </c>
      <c r="H23">
        <v>9</v>
      </c>
    </row>
    <row r="24" spans="1:10" x14ac:dyDescent="0.35">
      <c r="A24" t="s">
        <v>104</v>
      </c>
      <c r="B24" t="s">
        <v>10</v>
      </c>
      <c r="C24" t="s">
        <v>21</v>
      </c>
      <c r="F24" s="2">
        <v>45501</v>
      </c>
      <c r="G24" s="2">
        <v>45508</v>
      </c>
      <c r="H24">
        <v>5</v>
      </c>
    </row>
    <row r="25" spans="1:10" x14ac:dyDescent="0.35">
      <c r="A25" t="s">
        <v>104</v>
      </c>
      <c r="B25" t="s">
        <v>15</v>
      </c>
      <c r="C25" t="s">
        <v>26</v>
      </c>
      <c r="F25" s="2">
        <v>45529</v>
      </c>
      <c r="G25" s="2">
        <v>45536</v>
      </c>
      <c r="H25">
        <v>10</v>
      </c>
      <c r="J25" s="1"/>
    </row>
    <row r="26" spans="1:10" x14ac:dyDescent="0.35">
      <c r="A26" t="s">
        <v>104</v>
      </c>
      <c r="B26" t="s">
        <v>11</v>
      </c>
      <c r="C26" t="s">
        <v>22</v>
      </c>
      <c r="F26" s="2">
        <v>45501</v>
      </c>
      <c r="G26" s="2">
        <v>45508</v>
      </c>
      <c r="H26">
        <v>6</v>
      </c>
      <c r="J26" s="1"/>
    </row>
    <row r="27" spans="1:10" x14ac:dyDescent="0.35">
      <c r="A27" t="s">
        <v>104</v>
      </c>
      <c r="B27" t="s">
        <v>18</v>
      </c>
      <c r="C27" t="s">
        <v>32</v>
      </c>
      <c r="F27" s="2">
        <v>45564</v>
      </c>
      <c r="G27" s="2">
        <v>45564</v>
      </c>
      <c r="H27">
        <v>13</v>
      </c>
      <c r="J27" s="1"/>
    </row>
    <row r="28" spans="1:10" x14ac:dyDescent="0.35">
      <c r="A28" t="s">
        <v>104</v>
      </c>
      <c r="B28" t="s">
        <v>6</v>
      </c>
      <c r="C28" t="s">
        <v>4</v>
      </c>
      <c r="F28" s="2">
        <v>45473</v>
      </c>
      <c r="G28" s="2">
        <v>45480</v>
      </c>
      <c r="H28">
        <v>1</v>
      </c>
      <c r="J28" s="1"/>
    </row>
    <row r="29" spans="1:10" x14ac:dyDescent="0.35">
      <c r="A29" t="s">
        <v>104</v>
      </c>
      <c r="B29" t="s">
        <v>7</v>
      </c>
      <c r="C29" t="s">
        <v>44</v>
      </c>
      <c r="F29" s="2">
        <v>45473</v>
      </c>
      <c r="G29" s="2">
        <v>45480</v>
      </c>
      <c r="H29">
        <v>2</v>
      </c>
      <c r="J29" s="1"/>
    </row>
    <row r="30" spans="1:10" x14ac:dyDescent="0.35">
      <c r="A30" t="s">
        <v>104</v>
      </c>
      <c r="B30" t="s">
        <v>8</v>
      </c>
      <c r="C30" t="s">
        <v>35</v>
      </c>
      <c r="F30" s="2">
        <v>45487</v>
      </c>
      <c r="G30" s="2">
        <v>45494</v>
      </c>
      <c r="H30">
        <v>3</v>
      </c>
      <c r="J30" s="1"/>
    </row>
    <row r="31" spans="1:10" x14ac:dyDescent="0.35">
      <c r="A31" t="s">
        <v>104</v>
      </c>
      <c r="B31" t="s">
        <v>9</v>
      </c>
      <c r="C31" t="s">
        <v>39</v>
      </c>
      <c r="F31" s="2">
        <v>45487</v>
      </c>
      <c r="G31" s="2">
        <v>45494</v>
      </c>
      <c r="H31">
        <v>4</v>
      </c>
      <c r="J31" s="1"/>
    </row>
    <row r="32" spans="1:10" x14ac:dyDescent="0.35">
      <c r="A32" t="s">
        <v>104</v>
      </c>
      <c r="B32" t="s">
        <v>10</v>
      </c>
      <c r="C32" t="s">
        <v>42</v>
      </c>
      <c r="F32" s="2">
        <v>45501</v>
      </c>
      <c r="G32" s="2">
        <v>45508</v>
      </c>
      <c r="H32">
        <v>5</v>
      </c>
      <c r="J32" s="1"/>
    </row>
    <row r="33" spans="1:10" x14ac:dyDescent="0.35">
      <c r="A33" t="s">
        <v>104</v>
      </c>
      <c r="B33" t="s">
        <v>11</v>
      </c>
      <c r="C33" t="s">
        <v>43</v>
      </c>
      <c r="F33" s="2">
        <v>45501</v>
      </c>
      <c r="G33" s="2">
        <v>45508</v>
      </c>
      <c r="H33">
        <v>6</v>
      </c>
      <c r="J33" s="1"/>
    </row>
    <row r="34" spans="1:10" x14ac:dyDescent="0.35">
      <c r="A34" t="s">
        <v>104</v>
      </c>
      <c r="B34" t="s">
        <v>12</v>
      </c>
      <c r="C34" t="s">
        <v>34</v>
      </c>
      <c r="F34" s="2">
        <v>45515</v>
      </c>
      <c r="G34" s="2">
        <v>45522</v>
      </c>
      <c r="H34">
        <v>7</v>
      </c>
      <c r="J34" s="1"/>
    </row>
    <row r="35" spans="1:10" x14ac:dyDescent="0.35">
      <c r="A35" t="s">
        <v>104</v>
      </c>
      <c r="B35" t="s">
        <v>12</v>
      </c>
      <c r="C35" t="s">
        <v>48</v>
      </c>
      <c r="F35" s="2">
        <v>45515</v>
      </c>
      <c r="G35" s="2">
        <v>45522</v>
      </c>
      <c r="H35">
        <v>7</v>
      </c>
      <c r="J35" s="1"/>
    </row>
    <row r="36" spans="1:10" x14ac:dyDescent="0.35">
      <c r="A36" t="s">
        <v>104</v>
      </c>
      <c r="B36" t="s">
        <v>13</v>
      </c>
      <c r="C36" t="s">
        <v>37</v>
      </c>
      <c r="F36" s="2">
        <v>45515</v>
      </c>
      <c r="G36" s="2">
        <v>45522</v>
      </c>
      <c r="H36">
        <v>8</v>
      </c>
      <c r="J36" s="1"/>
    </row>
    <row r="37" spans="1:10" x14ac:dyDescent="0.35">
      <c r="A37" t="s">
        <v>104</v>
      </c>
      <c r="B37" t="s">
        <v>13</v>
      </c>
      <c r="C37" t="s">
        <v>31</v>
      </c>
      <c r="F37" s="2">
        <v>45515</v>
      </c>
      <c r="G37" s="2">
        <v>45522</v>
      </c>
      <c r="H37">
        <v>8</v>
      </c>
      <c r="J37" s="1"/>
    </row>
    <row r="38" spans="1:10" x14ac:dyDescent="0.35">
      <c r="A38" t="s">
        <v>104</v>
      </c>
      <c r="B38" t="s">
        <v>13</v>
      </c>
      <c r="C38" t="s">
        <v>47</v>
      </c>
      <c r="F38" s="2">
        <v>45515</v>
      </c>
      <c r="G38" s="2">
        <v>45522</v>
      </c>
      <c r="H38">
        <v>8</v>
      </c>
      <c r="J38" s="1"/>
    </row>
    <row r="39" spans="1:10" x14ac:dyDescent="0.35">
      <c r="A39" t="s">
        <v>104</v>
      </c>
      <c r="B39" t="s">
        <v>13</v>
      </c>
      <c r="C39" t="s">
        <v>30</v>
      </c>
      <c r="F39" s="2">
        <v>45515</v>
      </c>
      <c r="G39" s="2">
        <v>45522</v>
      </c>
      <c r="H39">
        <v>8</v>
      </c>
      <c r="J39" s="1"/>
    </row>
    <row r="40" spans="1:10" x14ac:dyDescent="0.35">
      <c r="A40" t="s">
        <v>104</v>
      </c>
      <c r="B40" t="s">
        <v>14</v>
      </c>
      <c r="C40" t="s">
        <v>41</v>
      </c>
      <c r="F40" s="2">
        <v>45529</v>
      </c>
      <c r="G40" s="2">
        <v>45536</v>
      </c>
      <c r="H40">
        <v>9</v>
      </c>
      <c r="J40" s="1"/>
    </row>
    <row r="41" spans="1:10" x14ac:dyDescent="0.35">
      <c r="A41" t="s">
        <v>104</v>
      </c>
      <c r="B41" t="s">
        <v>14</v>
      </c>
      <c r="C41" t="s">
        <v>49</v>
      </c>
      <c r="F41" s="2">
        <v>45529</v>
      </c>
      <c r="G41" s="2">
        <v>45536</v>
      </c>
      <c r="H41">
        <v>9</v>
      </c>
      <c r="J41" s="1"/>
    </row>
    <row r="42" spans="1:10" x14ac:dyDescent="0.35">
      <c r="A42" t="s">
        <v>104</v>
      </c>
      <c r="B42" t="s">
        <v>14</v>
      </c>
      <c r="C42" t="s">
        <v>33</v>
      </c>
      <c r="F42" s="2">
        <v>45529</v>
      </c>
      <c r="G42" s="2">
        <v>45536</v>
      </c>
      <c r="H42">
        <v>9</v>
      </c>
      <c r="J42" s="1"/>
    </row>
    <row r="43" spans="1:10" x14ac:dyDescent="0.35">
      <c r="A43" t="s">
        <v>104</v>
      </c>
      <c r="B43" t="s">
        <v>15</v>
      </c>
      <c r="C43" t="s">
        <v>38</v>
      </c>
      <c r="F43" s="2">
        <v>45529</v>
      </c>
      <c r="G43" s="2">
        <v>45536</v>
      </c>
      <c r="H43">
        <v>10</v>
      </c>
      <c r="J43" s="1"/>
    </row>
    <row r="44" spans="1:10" x14ac:dyDescent="0.35">
      <c r="A44" t="s">
        <v>104</v>
      </c>
      <c r="B44" t="s">
        <v>15</v>
      </c>
      <c r="C44" t="s">
        <v>46</v>
      </c>
      <c r="F44" s="2">
        <v>45529</v>
      </c>
      <c r="G44" s="2">
        <v>45536</v>
      </c>
      <c r="H44">
        <v>10</v>
      </c>
      <c r="J44" s="1"/>
    </row>
    <row r="45" spans="1:10" x14ac:dyDescent="0.35">
      <c r="A45" t="s">
        <v>104</v>
      </c>
      <c r="B45" t="s">
        <v>16</v>
      </c>
      <c r="C45" t="s">
        <v>45</v>
      </c>
      <c r="F45" s="2">
        <v>45543</v>
      </c>
      <c r="G45" s="2">
        <v>45550</v>
      </c>
      <c r="H45">
        <v>11</v>
      </c>
    </row>
    <row r="46" spans="1:10" x14ac:dyDescent="0.35">
      <c r="A46" t="s">
        <v>104</v>
      </c>
      <c r="B46" t="s">
        <v>17</v>
      </c>
      <c r="C46" t="s">
        <v>36</v>
      </c>
      <c r="F46" s="2">
        <v>45543</v>
      </c>
      <c r="G46" s="2">
        <v>45550</v>
      </c>
      <c r="H46">
        <v>12</v>
      </c>
    </row>
    <row r="47" spans="1:10" x14ac:dyDescent="0.35">
      <c r="A47" t="s">
        <v>104</v>
      </c>
      <c r="B47" t="s">
        <v>18</v>
      </c>
      <c r="C47" t="s">
        <v>40</v>
      </c>
      <c r="F47" s="2">
        <v>45564</v>
      </c>
      <c r="G47" s="2">
        <v>45564</v>
      </c>
      <c r="H47">
        <v>13</v>
      </c>
    </row>
    <row r="48" spans="1:10" x14ac:dyDescent="0.35">
      <c r="A48" t="s">
        <v>106</v>
      </c>
      <c r="B48" t="s">
        <v>6</v>
      </c>
      <c r="C48" t="s">
        <v>54</v>
      </c>
      <c r="D48" s="5">
        <v>45565</v>
      </c>
      <c r="E48" s="5">
        <v>45571</v>
      </c>
      <c r="F48" s="5">
        <v>45564</v>
      </c>
      <c r="G48" s="5">
        <v>45571</v>
      </c>
      <c r="H48">
        <v>1</v>
      </c>
    </row>
    <row r="49" spans="1:8" x14ac:dyDescent="0.35">
      <c r="A49" t="s">
        <v>106</v>
      </c>
      <c r="B49" t="s">
        <v>7</v>
      </c>
      <c r="C49" t="s">
        <v>50</v>
      </c>
      <c r="D49" s="5">
        <v>45572</v>
      </c>
      <c r="E49" s="5">
        <v>45578</v>
      </c>
      <c r="F49" s="5">
        <v>45564</v>
      </c>
      <c r="G49" s="5">
        <v>45571</v>
      </c>
      <c r="H49">
        <v>2</v>
      </c>
    </row>
    <row r="50" spans="1:8" x14ac:dyDescent="0.35">
      <c r="A50" t="s">
        <v>106</v>
      </c>
      <c r="B50" t="s">
        <v>8</v>
      </c>
      <c r="C50" t="s">
        <v>51</v>
      </c>
      <c r="D50" s="5">
        <v>45579</v>
      </c>
      <c r="E50" s="5">
        <v>45585</v>
      </c>
      <c r="F50" s="5">
        <v>45578</v>
      </c>
      <c r="G50" s="5">
        <v>45585</v>
      </c>
      <c r="H50">
        <v>3</v>
      </c>
    </row>
    <row r="51" spans="1:8" x14ac:dyDescent="0.35">
      <c r="A51" t="s">
        <v>106</v>
      </c>
      <c r="B51" t="s">
        <v>9</v>
      </c>
      <c r="C51" t="s">
        <v>52</v>
      </c>
      <c r="D51" s="5">
        <v>45586</v>
      </c>
      <c r="E51" s="5">
        <v>45592</v>
      </c>
      <c r="F51" s="5">
        <v>45578</v>
      </c>
      <c r="G51" s="5">
        <v>45585</v>
      </c>
      <c r="H51">
        <v>4</v>
      </c>
    </row>
    <row r="52" spans="1:8" x14ac:dyDescent="0.35">
      <c r="A52" t="s">
        <v>106</v>
      </c>
      <c r="B52" t="s">
        <v>10</v>
      </c>
      <c r="C52" t="s">
        <v>53</v>
      </c>
      <c r="D52" s="5">
        <v>45593</v>
      </c>
      <c r="E52" s="5">
        <v>45599</v>
      </c>
      <c r="F52" s="5">
        <v>45592</v>
      </c>
      <c r="G52" s="5">
        <v>45599</v>
      </c>
      <c r="H52">
        <v>5</v>
      </c>
    </row>
    <row r="53" spans="1:8" x14ac:dyDescent="0.35">
      <c r="A53" t="s">
        <v>106</v>
      </c>
      <c r="B53" t="s">
        <v>11</v>
      </c>
      <c r="C53" t="s">
        <v>55</v>
      </c>
      <c r="D53" s="5">
        <v>45600</v>
      </c>
      <c r="E53" s="5">
        <v>45606</v>
      </c>
      <c r="F53" s="5">
        <v>45592</v>
      </c>
      <c r="G53" s="5">
        <v>45599</v>
      </c>
      <c r="H53">
        <v>6</v>
      </c>
    </row>
    <row r="54" spans="1:8" x14ac:dyDescent="0.35">
      <c r="A54" t="s">
        <v>106</v>
      </c>
      <c r="B54" t="s">
        <v>12</v>
      </c>
      <c r="C54" t="s">
        <v>56</v>
      </c>
      <c r="D54" s="5">
        <v>45607</v>
      </c>
      <c r="E54" s="5">
        <v>45613</v>
      </c>
      <c r="F54" s="5">
        <v>45606</v>
      </c>
      <c r="G54" s="5">
        <v>45613</v>
      </c>
      <c r="H54">
        <v>7</v>
      </c>
    </row>
    <row r="55" spans="1:8" x14ac:dyDescent="0.35">
      <c r="A55" t="s">
        <v>106</v>
      </c>
      <c r="B55" t="s">
        <v>13</v>
      </c>
      <c r="C55" t="s">
        <v>57</v>
      </c>
      <c r="D55" s="5">
        <v>45614</v>
      </c>
      <c r="E55" s="5">
        <v>45620</v>
      </c>
      <c r="F55" s="5">
        <v>45606</v>
      </c>
      <c r="G55" s="5">
        <v>45613</v>
      </c>
      <c r="H55">
        <v>8</v>
      </c>
    </row>
    <row r="56" spans="1:8" x14ac:dyDescent="0.35">
      <c r="A56" t="s">
        <v>106</v>
      </c>
      <c r="B56" t="s">
        <v>14</v>
      </c>
      <c r="C56" t="s">
        <v>58</v>
      </c>
      <c r="D56" s="5">
        <v>45621</v>
      </c>
      <c r="E56" s="5">
        <v>45627</v>
      </c>
      <c r="F56" s="5">
        <v>45620</v>
      </c>
      <c r="G56" s="5">
        <v>45627</v>
      </c>
      <c r="H56">
        <v>9</v>
      </c>
    </row>
    <row r="57" spans="1:8" x14ac:dyDescent="0.35">
      <c r="A57" t="s">
        <v>106</v>
      </c>
      <c r="B57" t="s">
        <v>15</v>
      </c>
      <c r="C57" t="s">
        <v>59</v>
      </c>
      <c r="D57" s="5">
        <v>45628</v>
      </c>
      <c r="E57" s="5">
        <v>45634</v>
      </c>
      <c r="F57" s="5">
        <v>45620</v>
      </c>
      <c r="G57" s="5">
        <v>45627</v>
      </c>
      <c r="H57">
        <v>10</v>
      </c>
    </row>
    <row r="58" spans="1:8" x14ac:dyDescent="0.35">
      <c r="A58" t="s">
        <v>106</v>
      </c>
      <c r="B58" t="s">
        <v>16</v>
      </c>
      <c r="C58" t="s">
        <v>60</v>
      </c>
      <c r="D58" s="5">
        <v>45635</v>
      </c>
      <c r="E58" s="5">
        <v>45641</v>
      </c>
      <c r="F58" s="5">
        <v>45634</v>
      </c>
      <c r="G58" s="5">
        <v>45641</v>
      </c>
      <c r="H58">
        <v>11</v>
      </c>
    </row>
    <row r="59" spans="1:8" x14ac:dyDescent="0.35">
      <c r="A59" t="s">
        <v>106</v>
      </c>
      <c r="B59" t="s">
        <v>17</v>
      </c>
      <c r="C59" t="s">
        <v>61</v>
      </c>
      <c r="D59" s="5">
        <v>45642</v>
      </c>
      <c r="E59" s="5">
        <v>45648</v>
      </c>
      <c r="F59" s="5">
        <v>45634</v>
      </c>
      <c r="G59" s="5">
        <v>45641</v>
      </c>
      <c r="H59">
        <v>12</v>
      </c>
    </row>
    <row r="60" spans="1:8" x14ac:dyDescent="0.35">
      <c r="A60" t="s">
        <v>106</v>
      </c>
      <c r="B60" t="s">
        <v>18</v>
      </c>
      <c r="C60" t="s">
        <v>62</v>
      </c>
      <c r="D60" s="5">
        <v>45649</v>
      </c>
      <c r="E60" s="5">
        <v>45655</v>
      </c>
      <c r="F60" s="5">
        <v>45655</v>
      </c>
      <c r="G60" s="5">
        <v>45655</v>
      </c>
      <c r="H60">
        <v>13</v>
      </c>
    </row>
    <row r="61" spans="1:8" x14ac:dyDescent="0.35">
      <c r="A61" t="s">
        <v>107</v>
      </c>
      <c r="B61" t="s">
        <v>6</v>
      </c>
      <c r="C61" t="s">
        <v>63</v>
      </c>
      <c r="D61" s="5">
        <v>45656</v>
      </c>
      <c r="E61" s="5">
        <v>45662</v>
      </c>
      <c r="F61" s="5">
        <v>45662</v>
      </c>
      <c r="G61" s="5">
        <v>45669</v>
      </c>
      <c r="H61">
        <v>1</v>
      </c>
    </row>
    <row r="62" spans="1:8" x14ac:dyDescent="0.35">
      <c r="A62" t="s">
        <v>107</v>
      </c>
      <c r="B62" t="s">
        <v>7</v>
      </c>
      <c r="C62" t="s">
        <v>64</v>
      </c>
      <c r="D62" s="5">
        <v>45663</v>
      </c>
      <c r="E62" s="5">
        <v>45669</v>
      </c>
      <c r="F62" s="5">
        <v>45662</v>
      </c>
      <c r="G62" s="5">
        <v>45669</v>
      </c>
      <c r="H62">
        <v>2</v>
      </c>
    </row>
    <row r="63" spans="1:8" x14ac:dyDescent="0.35">
      <c r="A63" t="s">
        <v>107</v>
      </c>
      <c r="B63" t="s">
        <v>8</v>
      </c>
      <c r="C63" t="s">
        <v>65</v>
      </c>
      <c r="D63" s="5">
        <v>45670</v>
      </c>
      <c r="E63" s="5">
        <v>45676</v>
      </c>
      <c r="F63" s="5">
        <v>45676</v>
      </c>
      <c r="G63" s="5">
        <v>45683</v>
      </c>
      <c r="H63">
        <v>3</v>
      </c>
    </row>
    <row r="64" spans="1:8" x14ac:dyDescent="0.35">
      <c r="A64" t="s">
        <v>107</v>
      </c>
      <c r="B64" t="s">
        <v>9</v>
      </c>
      <c r="C64" t="s">
        <v>66</v>
      </c>
      <c r="D64" s="5">
        <v>45677</v>
      </c>
      <c r="E64" s="5">
        <v>45683</v>
      </c>
      <c r="F64" s="5">
        <v>45676</v>
      </c>
      <c r="G64" s="5">
        <v>45683</v>
      </c>
      <c r="H64">
        <v>4</v>
      </c>
    </row>
    <row r="65" spans="1:8" x14ac:dyDescent="0.35">
      <c r="A65" t="s">
        <v>107</v>
      </c>
      <c r="B65" t="s">
        <v>10</v>
      </c>
      <c r="C65" t="s">
        <v>67</v>
      </c>
      <c r="D65" s="5">
        <v>45684</v>
      </c>
      <c r="E65" s="5">
        <v>45690</v>
      </c>
      <c r="F65" s="5">
        <v>45690</v>
      </c>
      <c r="G65" s="5">
        <v>45697</v>
      </c>
      <c r="H65">
        <v>5</v>
      </c>
    </row>
    <row r="66" spans="1:8" x14ac:dyDescent="0.35">
      <c r="A66" t="s">
        <v>107</v>
      </c>
      <c r="B66" t="s">
        <v>11</v>
      </c>
      <c r="C66" t="s">
        <v>68</v>
      </c>
      <c r="D66" s="5">
        <v>45691</v>
      </c>
      <c r="E66" s="5">
        <v>45697</v>
      </c>
      <c r="F66" s="5">
        <v>45690</v>
      </c>
      <c r="G66" s="5">
        <v>45697</v>
      </c>
      <c r="H66">
        <v>6</v>
      </c>
    </row>
    <row r="67" spans="1:8" x14ac:dyDescent="0.35">
      <c r="A67" t="s">
        <v>107</v>
      </c>
      <c r="B67" t="s">
        <v>12</v>
      </c>
      <c r="C67" t="s">
        <v>69</v>
      </c>
      <c r="D67" s="5">
        <v>45698</v>
      </c>
      <c r="E67" s="5">
        <v>45704</v>
      </c>
      <c r="F67" s="5">
        <v>45704</v>
      </c>
      <c r="G67" s="5">
        <v>45711</v>
      </c>
      <c r="H67">
        <v>7</v>
      </c>
    </row>
    <row r="68" spans="1:8" x14ac:dyDescent="0.35">
      <c r="A68" t="s">
        <v>107</v>
      </c>
      <c r="B68" t="s">
        <v>13</v>
      </c>
      <c r="C68" t="s">
        <v>70</v>
      </c>
      <c r="D68" s="5">
        <v>45705</v>
      </c>
      <c r="E68" s="5">
        <v>45711</v>
      </c>
      <c r="F68" s="5">
        <v>45704</v>
      </c>
      <c r="G68" s="5">
        <v>45711</v>
      </c>
      <c r="H68">
        <v>8</v>
      </c>
    </row>
    <row r="69" spans="1:8" x14ac:dyDescent="0.35">
      <c r="A69" t="s">
        <v>107</v>
      </c>
      <c r="B69" t="s">
        <v>14</v>
      </c>
      <c r="C69" t="s">
        <v>71</v>
      </c>
      <c r="D69" s="5">
        <v>45712</v>
      </c>
      <c r="E69" s="5">
        <v>45718</v>
      </c>
      <c r="F69" s="5">
        <v>45718</v>
      </c>
      <c r="G69" s="5">
        <v>45725</v>
      </c>
      <c r="H69">
        <v>9</v>
      </c>
    </row>
    <row r="70" spans="1:8" x14ac:dyDescent="0.35">
      <c r="A70" t="s">
        <v>107</v>
      </c>
      <c r="B70" t="s">
        <v>15</v>
      </c>
      <c r="C70" t="s">
        <v>72</v>
      </c>
      <c r="D70" s="5">
        <v>45719</v>
      </c>
      <c r="E70" s="5">
        <v>45725</v>
      </c>
      <c r="F70" s="5">
        <v>45718</v>
      </c>
      <c r="G70" s="5">
        <v>45725</v>
      </c>
      <c r="H70">
        <v>10</v>
      </c>
    </row>
    <row r="71" spans="1:8" x14ac:dyDescent="0.35">
      <c r="A71" t="s">
        <v>107</v>
      </c>
      <c r="B71" t="s">
        <v>16</v>
      </c>
      <c r="C71" t="s">
        <v>73</v>
      </c>
      <c r="D71" s="5">
        <v>45726</v>
      </c>
      <c r="E71" s="5">
        <v>45732</v>
      </c>
      <c r="F71" s="5">
        <v>45732</v>
      </c>
      <c r="G71" s="5">
        <v>45739</v>
      </c>
      <c r="H71">
        <v>11</v>
      </c>
    </row>
    <row r="72" spans="1:8" x14ac:dyDescent="0.35">
      <c r="A72" t="s">
        <v>107</v>
      </c>
      <c r="B72" t="s">
        <v>17</v>
      </c>
      <c r="C72" t="s">
        <v>74</v>
      </c>
      <c r="D72" s="5">
        <v>45733</v>
      </c>
      <c r="E72" s="5">
        <v>45739</v>
      </c>
      <c r="F72" s="5">
        <v>45732</v>
      </c>
      <c r="G72" s="5">
        <v>45739</v>
      </c>
      <c r="H72">
        <v>12</v>
      </c>
    </row>
    <row r="73" spans="1:8" x14ac:dyDescent="0.35">
      <c r="A73" t="s">
        <v>107</v>
      </c>
      <c r="B73" t="s">
        <v>18</v>
      </c>
      <c r="C73" t="s">
        <v>75</v>
      </c>
      <c r="D73" s="5">
        <v>45740</v>
      </c>
      <c r="E73" s="5">
        <v>45746</v>
      </c>
      <c r="F73" s="5">
        <v>45746</v>
      </c>
      <c r="G73" s="5">
        <v>45746</v>
      </c>
      <c r="H73">
        <v>13</v>
      </c>
    </row>
    <row r="74" spans="1:8" x14ac:dyDescent="0.35">
      <c r="A74" t="s">
        <v>103</v>
      </c>
      <c r="B74" t="s">
        <v>6</v>
      </c>
      <c r="C74" t="s">
        <v>76</v>
      </c>
      <c r="D74" s="5">
        <v>45747</v>
      </c>
      <c r="E74" s="5">
        <v>45753</v>
      </c>
      <c r="F74" s="2">
        <v>45746</v>
      </c>
      <c r="G74" s="2">
        <v>45753</v>
      </c>
      <c r="H74">
        <v>1</v>
      </c>
    </row>
    <row r="75" spans="1:8" x14ac:dyDescent="0.35">
      <c r="A75" t="s">
        <v>103</v>
      </c>
      <c r="B75" t="s">
        <v>7</v>
      </c>
      <c r="C75" t="s">
        <v>77</v>
      </c>
      <c r="D75" s="5">
        <v>45754</v>
      </c>
      <c r="E75" s="5">
        <v>45760</v>
      </c>
      <c r="F75" s="2">
        <v>45746</v>
      </c>
      <c r="G75" s="2">
        <v>45753</v>
      </c>
      <c r="H75">
        <v>2</v>
      </c>
    </row>
    <row r="76" spans="1:8" x14ac:dyDescent="0.35">
      <c r="A76" t="s">
        <v>103</v>
      </c>
      <c r="B76" t="s">
        <v>8</v>
      </c>
      <c r="C76" t="s">
        <v>78</v>
      </c>
      <c r="D76" s="5">
        <v>45761</v>
      </c>
      <c r="E76" s="5">
        <v>45767</v>
      </c>
      <c r="F76" s="2">
        <v>45760</v>
      </c>
      <c r="G76" s="2">
        <v>45767</v>
      </c>
      <c r="H76">
        <v>3</v>
      </c>
    </row>
    <row r="77" spans="1:8" x14ac:dyDescent="0.35">
      <c r="A77" t="s">
        <v>103</v>
      </c>
      <c r="B77" t="s">
        <v>9</v>
      </c>
      <c r="C77" t="s">
        <v>79</v>
      </c>
      <c r="D77" s="5">
        <v>45768</v>
      </c>
      <c r="E77" s="5">
        <v>45774</v>
      </c>
      <c r="F77" s="2">
        <v>45760</v>
      </c>
      <c r="G77" s="2">
        <v>45767</v>
      </c>
      <c r="H77">
        <v>4</v>
      </c>
    </row>
    <row r="78" spans="1:8" x14ac:dyDescent="0.35">
      <c r="A78" t="s">
        <v>103</v>
      </c>
      <c r="B78" t="s">
        <v>10</v>
      </c>
      <c r="C78" t="s">
        <v>80</v>
      </c>
      <c r="D78" s="5">
        <v>45775</v>
      </c>
      <c r="E78" s="5">
        <v>45781</v>
      </c>
      <c r="F78" s="2">
        <v>45774</v>
      </c>
      <c r="G78" s="2">
        <v>45781</v>
      </c>
      <c r="H78">
        <v>5</v>
      </c>
    </row>
    <row r="79" spans="1:8" x14ac:dyDescent="0.35">
      <c r="A79" t="s">
        <v>103</v>
      </c>
      <c r="B79" t="s">
        <v>11</v>
      </c>
      <c r="C79" t="s">
        <v>81</v>
      </c>
      <c r="D79" s="5">
        <v>45782</v>
      </c>
      <c r="E79" s="5">
        <v>45788</v>
      </c>
      <c r="F79" s="2">
        <v>45774</v>
      </c>
      <c r="G79" s="2">
        <v>45781</v>
      </c>
      <c r="H79">
        <v>6</v>
      </c>
    </row>
    <row r="80" spans="1:8" x14ac:dyDescent="0.35">
      <c r="A80" t="s">
        <v>103</v>
      </c>
      <c r="B80" t="s">
        <v>12</v>
      </c>
      <c r="C80" t="s">
        <v>82</v>
      </c>
      <c r="D80" s="5">
        <v>45789</v>
      </c>
      <c r="E80" s="5">
        <v>45795</v>
      </c>
      <c r="F80" s="2">
        <v>45788</v>
      </c>
      <c r="G80" s="2">
        <v>45795</v>
      </c>
      <c r="H80">
        <v>7</v>
      </c>
    </row>
    <row r="81" spans="1:8" x14ac:dyDescent="0.35">
      <c r="A81" t="s">
        <v>103</v>
      </c>
      <c r="B81" t="s">
        <v>13</v>
      </c>
      <c r="C81" t="s">
        <v>83</v>
      </c>
      <c r="D81" s="5">
        <v>45796</v>
      </c>
      <c r="E81" s="5">
        <v>45802</v>
      </c>
      <c r="F81" s="2">
        <v>45788</v>
      </c>
      <c r="G81" s="2">
        <v>45795</v>
      </c>
      <c r="H81">
        <v>8</v>
      </c>
    </row>
    <row r="82" spans="1:8" x14ac:dyDescent="0.35">
      <c r="A82" t="s">
        <v>103</v>
      </c>
      <c r="B82" t="s">
        <v>14</v>
      </c>
      <c r="C82" t="s">
        <v>84</v>
      </c>
      <c r="D82" s="5">
        <v>45803</v>
      </c>
      <c r="E82" s="5">
        <v>45809</v>
      </c>
      <c r="F82" s="2">
        <v>45802</v>
      </c>
      <c r="G82" s="2">
        <v>45809</v>
      </c>
      <c r="H82">
        <v>9</v>
      </c>
    </row>
    <row r="83" spans="1:8" x14ac:dyDescent="0.35">
      <c r="A83" t="s">
        <v>103</v>
      </c>
      <c r="B83" t="s">
        <v>15</v>
      </c>
      <c r="C83" t="s">
        <v>85</v>
      </c>
      <c r="D83" s="5">
        <v>45810</v>
      </c>
      <c r="E83" s="5">
        <v>45816</v>
      </c>
      <c r="F83" s="2">
        <v>45802</v>
      </c>
      <c r="G83" s="2">
        <v>45809</v>
      </c>
      <c r="H83">
        <v>10</v>
      </c>
    </row>
    <row r="84" spans="1:8" x14ac:dyDescent="0.35">
      <c r="A84" t="s">
        <v>103</v>
      </c>
      <c r="B84" t="s">
        <v>16</v>
      </c>
      <c r="C84" t="s">
        <v>86</v>
      </c>
      <c r="D84" s="5">
        <v>45817</v>
      </c>
      <c r="E84" s="5">
        <v>45823</v>
      </c>
      <c r="F84" s="2">
        <v>45816</v>
      </c>
      <c r="G84" s="2">
        <v>45823</v>
      </c>
      <c r="H84">
        <v>11</v>
      </c>
    </row>
    <row r="85" spans="1:8" x14ac:dyDescent="0.35">
      <c r="A85" t="s">
        <v>103</v>
      </c>
      <c r="B85" t="s">
        <v>17</v>
      </c>
      <c r="C85" t="s">
        <v>87</v>
      </c>
      <c r="D85" s="5">
        <v>45824</v>
      </c>
      <c r="E85" s="5">
        <v>45830</v>
      </c>
      <c r="F85" s="2">
        <v>45816</v>
      </c>
      <c r="G85" s="2">
        <v>45823</v>
      </c>
      <c r="H85">
        <v>12</v>
      </c>
    </row>
    <row r="86" spans="1:8" x14ac:dyDescent="0.35">
      <c r="A86" t="s">
        <v>103</v>
      </c>
      <c r="B86" t="s">
        <v>18</v>
      </c>
      <c r="C86" t="s">
        <v>88</v>
      </c>
      <c r="D86" s="5">
        <v>45831</v>
      </c>
      <c r="E86" s="5">
        <v>45837</v>
      </c>
      <c r="F86" s="2">
        <v>45837</v>
      </c>
      <c r="G86" s="2">
        <v>45837</v>
      </c>
      <c r="H86">
        <v>13</v>
      </c>
    </row>
    <row r="87" spans="1:8" x14ac:dyDescent="0.35">
      <c r="A87" t="s">
        <v>105</v>
      </c>
      <c r="B87" t="s">
        <v>6</v>
      </c>
      <c r="C87" t="s">
        <v>89</v>
      </c>
      <c r="D87" s="5">
        <v>45838</v>
      </c>
      <c r="E87" s="5">
        <v>45844</v>
      </c>
      <c r="F87" s="5">
        <v>45837</v>
      </c>
      <c r="G87" s="5">
        <v>45844</v>
      </c>
      <c r="H87">
        <v>1</v>
      </c>
    </row>
    <row r="88" spans="1:8" x14ac:dyDescent="0.35">
      <c r="A88" t="s">
        <v>105</v>
      </c>
      <c r="B88" t="s">
        <v>7</v>
      </c>
      <c r="C88" t="s">
        <v>90</v>
      </c>
      <c r="D88" s="5">
        <v>45845</v>
      </c>
      <c r="E88" s="5">
        <v>45851</v>
      </c>
      <c r="F88" s="5">
        <v>45837</v>
      </c>
      <c r="G88" s="5">
        <v>45844</v>
      </c>
      <c r="H88">
        <v>2</v>
      </c>
    </row>
    <row r="89" spans="1:8" x14ac:dyDescent="0.35">
      <c r="A89" t="s">
        <v>105</v>
      </c>
      <c r="B89" t="s">
        <v>8</v>
      </c>
      <c r="C89" t="s">
        <v>91</v>
      </c>
      <c r="D89" s="5">
        <v>45852</v>
      </c>
      <c r="E89" s="5">
        <v>45858</v>
      </c>
      <c r="F89" s="5">
        <v>45851</v>
      </c>
      <c r="G89" s="5">
        <v>45858</v>
      </c>
      <c r="H89">
        <v>3</v>
      </c>
    </row>
    <row r="90" spans="1:8" x14ac:dyDescent="0.35">
      <c r="A90" t="s">
        <v>105</v>
      </c>
      <c r="B90" t="s">
        <v>9</v>
      </c>
      <c r="C90" t="s">
        <v>92</v>
      </c>
      <c r="D90" s="5">
        <v>45859</v>
      </c>
      <c r="E90" s="5">
        <v>45865</v>
      </c>
      <c r="F90" s="5">
        <v>45851</v>
      </c>
      <c r="G90" s="5">
        <v>45858</v>
      </c>
      <c r="H90">
        <v>4</v>
      </c>
    </row>
    <row r="91" spans="1:8" x14ac:dyDescent="0.35">
      <c r="A91" t="s">
        <v>105</v>
      </c>
      <c r="B91" t="s">
        <v>10</v>
      </c>
      <c r="C91" t="s">
        <v>93</v>
      </c>
      <c r="D91" s="5">
        <v>45866</v>
      </c>
      <c r="E91" s="5">
        <v>45872</v>
      </c>
      <c r="F91" s="5">
        <v>45865</v>
      </c>
      <c r="G91" s="5">
        <v>45872</v>
      </c>
      <c r="H91">
        <v>5</v>
      </c>
    </row>
    <row r="92" spans="1:8" x14ac:dyDescent="0.35">
      <c r="A92" t="s">
        <v>105</v>
      </c>
      <c r="B92" t="s">
        <v>11</v>
      </c>
      <c r="C92" t="s">
        <v>94</v>
      </c>
      <c r="D92" s="5">
        <v>45873</v>
      </c>
      <c r="E92" s="5">
        <v>45879</v>
      </c>
      <c r="F92" s="5">
        <v>45865</v>
      </c>
      <c r="G92" s="5">
        <v>45872</v>
      </c>
      <c r="H92">
        <v>6</v>
      </c>
    </row>
    <row r="93" spans="1:8" x14ac:dyDescent="0.35">
      <c r="A93" t="s">
        <v>105</v>
      </c>
      <c r="B93" t="s">
        <v>12</v>
      </c>
      <c r="C93" t="s">
        <v>95</v>
      </c>
      <c r="D93" s="5">
        <v>45880</v>
      </c>
      <c r="E93" s="5">
        <v>45886</v>
      </c>
      <c r="F93" s="5">
        <v>45879</v>
      </c>
      <c r="G93" s="5">
        <v>45886</v>
      </c>
      <c r="H93">
        <v>7</v>
      </c>
    </row>
    <row r="94" spans="1:8" x14ac:dyDescent="0.35">
      <c r="A94" t="s">
        <v>105</v>
      </c>
      <c r="B94" t="s">
        <v>13</v>
      </c>
      <c r="C94" t="s">
        <v>96</v>
      </c>
      <c r="D94" s="5">
        <v>45887</v>
      </c>
      <c r="E94" s="5">
        <v>45893</v>
      </c>
      <c r="F94" s="5">
        <v>45879</v>
      </c>
      <c r="G94" s="5">
        <v>45886</v>
      </c>
      <c r="H94">
        <v>8</v>
      </c>
    </row>
    <row r="95" spans="1:8" x14ac:dyDescent="0.35">
      <c r="A95" t="s">
        <v>105</v>
      </c>
      <c r="B95" t="s">
        <v>14</v>
      </c>
      <c r="C95" t="s">
        <v>97</v>
      </c>
      <c r="D95" s="5">
        <v>45894</v>
      </c>
      <c r="E95" s="5">
        <v>45900</v>
      </c>
      <c r="F95" s="5">
        <v>45893</v>
      </c>
      <c r="G95" s="5">
        <v>45900</v>
      </c>
      <c r="H95">
        <v>9</v>
      </c>
    </row>
    <row r="96" spans="1:8" x14ac:dyDescent="0.35">
      <c r="A96" t="s">
        <v>105</v>
      </c>
      <c r="B96" t="s">
        <v>15</v>
      </c>
      <c r="C96" t="s">
        <v>98</v>
      </c>
      <c r="D96" s="5">
        <v>45901</v>
      </c>
      <c r="E96" s="5">
        <v>45907</v>
      </c>
      <c r="F96" s="5">
        <v>45893</v>
      </c>
      <c r="G96" s="5">
        <v>45900</v>
      </c>
      <c r="H96">
        <v>10</v>
      </c>
    </row>
    <row r="97" spans="1:8" x14ac:dyDescent="0.35">
      <c r="A97" t="s">
        <v>105</v>
      </c>
      <c r="B97" t="s">
        <v>16</v>
      </c>
      <c r="C97" t="s">
        <v>99</v>
      </c>
      <c r="D97" s="5">
        <v>45908</v>
      </c>
      <c r="E97" s="5">
        <v>45914</v>
      </c>
      <c r="F97" s="5">
        <v>45907</v>
      </c>
      <c r="G97" s="5">
        <v>45914</v>
      </c>
      <c r="H97">
        <v>11</v>
      </c>
    </row>
    <row r="98" spans="1:8" x14ac:dyDescent="0.35">
      <c r="A98" t="s">
        <v>105</v>
      </c>
      <c r="B98" t="s">
        <v>17</v>
      </c>
      <c r="C98" t="s">
        <v>100</v>
      </c>
      <c r="D98" s="5">
        <v>45915</v>
      </c>
      <c r="E98" s="5">
        <v>45921</v>
      </c>
      <c r="F98" s="5">
        <v>45907</v>
      </c>
      <c r="G98" s="5">
        <v>45914</v>
      </c>
      <c r="H98">
        <v>12</v>
      </c>
    </row>
    <row r="99" spans="1:8" x14ac:dyDescent="0.35">
      <c r="A99" t="s">
        <v>105</v>
      </c>
      <c r="B99" t="s">
        <v>18</v>
      </c>
      <c r="C99" t="s">
        <v>101</v>
      </c>
      <c r="D99" s="5">
        <v>45922</v>
      </c>
      <c r="E99" s="5">
        <v>45928</v>
      </c>
      <c r="F99" s="5">
        <v>45928</v>
      </c>
      <c r="G99" s="5">
        <v>45928</v>
      </c>
      <c r="H99">
        <v>13</v>
      </c>
    </row>
    <row r="100" spans="1:8" x14ac:dyDescent="0.35">
      <c r="A100" t="s">
        <v>108</v>
      </c>
      <c r="B100" t="s">
        <v>6</v>
      </c>
      <c r="C100" t="s">
        <v>109</v>
      </c>
      <c r="D100" s="5">
        <v>45929</v>
      </c>
      <c r="E100" s="5">
        <v>45935</v>
      </c>
      <c r="F100" s="5">
        <v>45928</v>
      </c>
      <c r="G100" s="5">
        <v>45935</v>
      </c>
      <c r="H100">
        <v>1</v>
      </c>
    </row>
    <row r="101" spans="1:8" x14ac:dyDescent="0.35">
      <c r="A101" t="s">
        <v>108</v>
      </c>
      <c r="B101" t="s">
        <v>7</v>
      </c>
      <c r="C101" t="s">
        <v>110</v>
      </c>
      <c r="D101" s="5">
        <v>45936</v>
      </c>
      <c r="E101" s="5">
        <v>45942</v>
      </c>
      <c r="F101" s="5">
        <v>45928</v>
      </c>
      <c r="G101" s="5">
        <v>45935</v>
      </c>
      <c r="H101">
        <v>2</v>
      </c>
    </row>
    <row r="102" spans="1:8" x14ac:dyDescent="0.35">
      <c r="A102" t="s">
        <v>108</v>
      </c>
      <c r="B102" t="s">
        <v>8</v>
      </c>
      <c r="C102" t="s">
        <v>111</v>
      </c>
      <c r="D102" s="5">
        <v>45943</v>
      </c>
      <c r="E102" s="5">
        <v>45949</v>
      </c>
      <c r="F102" s="5">
        <v>45942</v>
      </c>
      <c r="G102" s="5">
        <v>45949</v>
      </c>
      <c r="H102">
        <v>3</v>
      </c>
    </row>
    <row r="103" spans="1:8" x14ac:dyDescent="0.35">
      <c r="A103" t="s">
        <v>108</v>
      </c>
      <c r="B103" t="s">
        <v>9</v>
      </c>
      <c r="C103" t="s">
        <v>112</v>
      </c>
      <c r="D103" s="5">
        <v>45950</v>
      </c>
      <c r="E103" s="5">
        <v>45956</v>
      </c>
      <c r="F103" s="5">
        <v>45942</v>
      </c>
      <c r="G103" s="5">
        <v>45949</v>
      </c>
      <c r="H103">
        <v>4</v>
      </c>
    </row>
    <row r="104" spans="1:8" x14ac:dyDescent="0.35">
      <c r="A104" t="s">
        <v>108</v>
      </c>
      <c r="B104" t="s">
        <v>10</v>
      </c>
      <c r="C104" t="s">
        <v>113</v>
      </c>
      <c r="D104" s="5">
        <v>45957</v>
      </c>
      <c r="E104" s="5">
        <v>45963</v>
      </c>
      <c r="F104" s="5">
        <v>45956</v>
      </c>
      <c r="G104" s="5">
        <v>45963</v>
      </c>
      <c r="H104">
        <v>5</v>
      </c>
    </row>
    <row r="105" spans="1:8" x14ac:dyDescent="0.35">
      <c r="A105" t="s">
        <v>108</v>
      </c>
      <c r="B105" t="s">
        <v>11</v>
      </c>
      <c r="C105" t="s">
        <v>114</v>
      </c>
      <c r="D105" s="5">
        <v>45964</v>
      </c>
      <c r="E105" s="5">
        <v>45970</v>
      </c>
      <c r="F105" s="5">
        <v>45956</v>
      </c>
      <c r="G105" s="5">
        <v>45963</v>
      </c>
      <c r="H105">
        <v>6</v>
      </c>
    </row>
    <row r="106" spans="1:8" x14ac:dyDescent="0.35">
      <c r="A106" t="s">
        <v>108</v>
      </c>
      <c r="B106" t="s">
        <v>12</v>
      </c>
      <c r="C106" t="s">
        <v>115</v>
      </c>
      <c r="D106" s="5">
        <v>45971</v>
      </c>
      <c r="E106" s="5">
        <v>45977</v>
      </c>
      <c r="F106" s="5">
        <v>45970</v>
      </c>
      <c r="G106" s="5">
        <v>45977</v>
      </c>
      <c r="H106">
        <v>7</v>
      </c>
    </row>
    <row r="107" spans="1:8" x14ac:dyDescent="0.35">
      <c r="A107" t="s">
        <v>108</v>
      </c>
      <c r="B107" t="s">
        <v>13</v>
      </c>
      <c r="C107" t="s">
        <v>116</v>
      </c>
      <c r="D107" s="5">
        <v>45978</v>
      </c>
      <c r="E107" s="5">
        <v>45984</v>
      </c>
      <c r="F107" s="5">
        <v>45970</v>
      </c>
      <c r="G107" s="5">
        <v>45977</v>
      </c>
      <c r="H107">
        <v>8</v>
      </c>
    </row>
    <row r="108" spans="1:8" x14ac:dyDescent="0.35">
      <c r="A108" t="s">
        <v>108</v>
      </c>
      <c r="B108" t="s">
        <v>14</v>
      </c>
      <c r="C108" t="s">
        <v>117</v>
      </c>
      <c r="D108" s="5">
        <v>45985</v>
      </c>
      <c r="E108" s="5">
        <v>45991</v>
      </c>
      <c r="F108" s="5">
        <v>45984</v>
      </c>
      <c r="G108" s="5">
        <v>45991</v>
      </c>
      <c r="H108">
        <v>9</v>
      </c>
    </row>
    <row r="109" spans="1:8" x14ac:dyDescent="0.35">
      <c r="A109" t="s">
        <v>108</v>
      </c>
      <c r="B109" t="s">
        <v>15</v>
      </c>
      <c r="C109" t="s">
        <v>118</v>
      </c>
      <c r="D109" s="5">
        <v>45992</v>
      </c>
      <c r="E109" s="5">
        <v>45998</v>
      </c>
      <c r="F109" s="5">
        <v>45984</v>
      </c>
      <c r="G109" s="5">
        <v>45991</v>
      </c>
      <c r="H109">
        <v>10</v>
      </c>
    </row>
    <row r="110" spans="1:8" x14ac:dyDescent="0.35">
      <c r="A110" t="s">
        <v>108</v>
      </c>
      <c r="B110" t="s">
        <v>16</v>
      </c>
      <c r="C110" t="s">
        <v>119</v>
      </c>
      <c r="D110" s="5">
        <v>45999</v>
      </c>
      <c r="E110" s="5">
        <v>46005</v>
      </c>
      <c r="F110" s="5">
        <v>45998</v>
      </c>
      <c r="G110" s="5">
        <v>46005</v>
      </c>
      <c r="H110">
        <v>11</v>
      </c>
    </row>
    <row r="111" spans="1:8" x14ac:dyDescent="0.35">
      <c r="A111" t="s">
        <v>108</v>
      </c>
      <c r="B111" t="s">
        <v>17</v>
      </c>
      <c r="C111" t="s">
        <v>120</v>
      </c>
      <c r="D111" s="5">
        <v>46006</v>
      </c>
      <c r="E111" s="5">
        <v>46012</v>
      </c>
      <c r="F111" s="5">
        <v>45998</v>
      </c>
      <c r="G111" s="5">
        <v>46005</v>
      </c>
      <c r="H111">
        <v>12</v>
      </c>
    </row>
    <row r="112" spans="1:8" x14ac:dyDescent="0.35">
      <c r="A112" t="s">
        <v>108</v>
      </c>
      <c r="B112" t="s">
        <v>18</v>
      </c>
      <c r="C112" t="s">
        <v>121</v>
      </c>
      <c r="D112" s="5">
        <v>46013</v>
      </c>
      <c r="E112" s="5">
        <v>46019</v>
      </c>
      <c r="F112" s="5">
        <v>46019</v>
      </c>
      <c r="G112" s="5">
        <v>46019</v>
      </c>
      <c r="H112">
        <v>13</v>
      </c>
    </row>
    <row r="113" spans="1:8" x14ac:dyDescent="0.35">
      <c r="A113" t="s">
        <v>124</v>
      </c>
      <c r="B113" t="s">
        <v>6</v>
      </c>
      <c r="C113" t="s">
        <v>125</v>
      </c>
      <c r="D113" s="5">
        <v>46020</v>
      </c>
      <c r="E113" s="5">
        <v>46026</v>
      </c>
      <c r="F113" s="5">
        <v>46019</v>
      </c>
      <c r="G113" s="5">
        <v>46026</v>
      </c>
      <c r="H113">
        <v>1</v>
      </c>
    </row>
    <row r="114" spans="1:8" x14ac:dyDescent="0.35">
      <c r="A114" t="s">
        <v>124</v>
      </c>
      <c r="B114" t="s">
        <v>7</v>
      </c>
      <c r="C114" t="s">
        <v>126</v>
      </c>
      <c r="D114" s="5">
        <v>46027</v>
      </c>
      <c r="E114" s="5">
        <v>46033</v>
      </c>
      <c r="F114" s="5">
        <v>46019</v>
      </c>
      <c r="G114" s="5">
        <v>46026</v>
      </c>
      <c r="H114">
        <v>2</v>
      </c>
    </row>
    <row r="115" spans="1:8" x14ac:dyDescent="0.35">
      <c r="A115" t="s">
        <v>124</v>
      </c>
      <c r="B115" t="s">
        <v>8</v>
      </c>
      <c r="C115" t="s">
        <v>127</v>
      </c>
      <c r="D115" s="5">
        <v>46034</v>
      </c>
      <c r="E115" s="5">
        <v>46040</v>
      </c>
      <c r="F115" s="5">
        <v>46033</v>
      </c>
      <c r="G115" s="5">
        <v>46040</v>
      </c>
      <c r="H115">
        <v>3</v>
      </c>
    </row>
    <row r="116" spans="1:8" x14ac:dyDescent="0.35">
      <c r="A116" t="s">
        <v>124</v>
      </c>
      <c r="B116" t="s">
        <v>9</v>
      </c>
      <c r="C116" t="s">
        <v>128</v>
      </c>
      <c r="D116" s="5">
        <v>46041</v>
      </c>
      <c r="E116" s="5">
        <v>46047</v>
      </c>
      <c r="F116" s="5">
        <v>46033</v>
      </c>
      <c r="G116" s="5">
        <v>46040</v>
      </c>
      <c r="H116">
        <v>4</v>
      </c>
    </row>
    <row r="117" spans="1:8" x14ac:dyDescent="0.35">
      <c r="A117" t="s">
        <v>124</v>
      </c>
      <c r="B117" t="s">
        <v>10</v>
      </c>
      <c r="C117" t="s">
        <v>129</v>
      </c>
      <c r="D117" s="5">
        <v>46048</v>
      </c>
      <c r="E117" s="5">
        <v>46054</v>
      </c>
      <c r="F117" s="5">
        <v>46047</v>
      </c>
      <c r="G117" s="5">
        <v>46054</v>
      </c>
      <c r="H117">
        <v>5</v>
      </c>
    </row>
    <row r="118" spans="1:8" x14ac:dyDescent="0.35">
      <c r="A118" t="s">
        <v>124</v>
      </c>
      <c r="B118" t="s">
        <v>11</v>
      </c>
      <c r="C118" t="s">
        <v>130</v>
      </c>
      <c r="D118" s="5">
        <v>46055</v>
      </c>
      <c r="E118" s="5">
        <v>46061</v>
      </c>
      <c r="F118" s="5">
        <v>46047</v>
      </c>
      <c r="G118" s="5">
        <v>46054</v>
      </c>
      <c r="H118">
        <v>6</v>
      </c>
    </row>
    <row r="119" spans="1:8" x14ac:dyDescent="0.35">
      <c r="A119" t="s">
        <v>124</v>
      </c>
      <c r="B119" t="s">
        <v>12</v>
      </c>
      <c r="C119" t="s">
        <v>131</v>
      </c>
      <c r="D119" s="5">
        <v>46062</v>
      </c>
      <c r="E119" s="5">
        <v>46068</v>
      </c>
      <c r="F119" s="5">
        <v>46061</v>
      </c>
      <c r="G119" s="5">
        <v>46068</v>
      </c>
      <c r="H119">
        <v>7</v>
      </c>
    </row>
    <row r="120" spans="1:8" x14ac:dyDescent="0.35">
      <c r="A120" t="s">
        <v>124</v>
      </c>
      <c r="B120" t="s">
        <v>13</v>
      </c>
      <c r="C120" t="s">
        <v>132</v>
      </c>
      <c r="D120" s="5">
        <v>46069</v>
      </c>
      <c r="E120" s="5">
        <v>46075</v>
      </c>
      <c r="F120" s="5">
        <v>46061</v>
      </c>
      <c r="G120" s="5">
        <v>46068</v>
      </c>
      <c r="H120">
        <v>8</v>
      </c>
    </row>
    <row r="121" spans="1:8" x14ac:dyDescent="0.35">
      <c r="A121" t="s">
        <v>124</v>
      </c>
      <c r="B121" t="s">
        <v>14</v>
      </c>
      <c r="C121" t="s">
        <v>133</v>
      </c>
      <c r="D121" s="5">
        <v>46076</v>
      </c>
      <c r="E121" s="5">
        <v>46082</v>
      </c>
      <c r="F121" s="5">
        <v>46075</v>
      </c>
      <c r="G121" s="5">
        <v>46082</v>
      </c>
      <c r="H121">
        <v>9</v>
      </c>
    </row>
    <row r="122" spans="1:8" x14ac:dyDescent="0.35">
      <c r="A122" t="s">
        <v>124</v>
      </c>
      <c r="B122" t="s">
        <v>15</v>
      </c>
      <c r="C122" t="s">
        <v>134</v>
      </c>
      <c r="D122" s="5">
        <v>46083</v>
      </c>
      <c r="E122" s="5">
        <v>46089</v>
      </c>
      <c r="F122" s="5">
        <v>46075</v>
      </c>
      <c r="G122" s="5">
        <v>46082</v>
      </c>
      <c r="H122">
        <v>10</v>
      </c>
    </row>
    <row r="123" spans="1:8" x14ac:dyDescent="0.35">
      <c r="A123" t="s">
        <v>124</v>
      </c>
      <c r="B123" t="s">
        <v>16</v>
      </c>
      <c r="C123" t="s">
        <v>135</v>
      </c>
      <c r="D123" s="5">
        <v>46090</v>
      </c>
      <c r="E123" s="5">
        <v>46096</v>
      </c>
      <c r="F123" s="5">
        <v>46089</v>
      </c>
      <c r="G123" s="5">
        <v>46096</v>
      </c>
      <c r="H123">
        <v>11</v>
      </c>
    </row>
    <row r="124" spans="1:8" x14ac:dyDescent="0.35">
      <c r="A124" t="s">
        <v>124</v>
      </c>
      <c r="B124" t="s">
        <v>17</v>
      </c>
      <c r="C124" t="s">
        <v>136</v>
      </c>
      <c r="D124" s="5">
        <v>46097</v>
      </c>
      <c r="E124" s="5">
        <v>46103</v>
      </c>
      <c r="F124" s="5">
        <v>46089</v>
      </c>
      <c r="G124" s="5">
        <v>46096</v>
      </c>
      <c r="H124">
        <v>12</v>
      </c>
    </row>
    <row r="125" spans="1:8" x14ac:dyDescent="0.35">
      <c r="A125" t="s">
        <v>124</v>
      </c>
      <c r="B125" t="s">
        <v>18</v>
      </c>
      <c r="C125" t="s">
        <v>137</v>
      </c>
      <c r="D125" s="5">
        <v>46104</v>
      </c>
      <c r="E125" s="5">
        <v>46110</v>
      </c>
      <c r="F125" s="5">
        <v>46110</v>
      </c>
      <c r="G125" s="5">
        <v>46110</v>
      </c>
      <c r="H125">
        <v>13</v>
      </c>
    </row>
    <row r="126" spans="1:8" x14ac:dyDescent="0.35">
      <c r="A126" t="s">
        <v>141</v>
      </c>
      <c r="B126" t="s">
        <v>6</v>
      </c>
      <c r="C126" t="s">
        <v>142</v>
      </c>
      <c r="D126" s="5">
        <v>46111</v>
      </c>
      <c r="E126" s="5">
        <v>46117</v>
      </c>
      <c r="F126" s="5">
        <v>46110</v>
      </c>
      <c r="G126" s="5">
        <v>46117</v>
      </c>
      <c r="H126">
        <v>1</v>
      </c>
    </row>
    <row r="127" spans="1:8" x14ac:dyDescent="0.35">
      <c r="A127" t="s">
        <v>141</v>
      </c>
      <c r="B127" t="s">
        <v>7</v>
      </c>
      <c r="C127" t="s">
        <v>143</v>
      </c>
      <c r="D127" s="5">
        <v>46118</v>
      </c>
      <c r="E127" s="5">
        <v>46124</v>
      </c>
      <c r="F127" s="5">
        <v>46110</v>
      </c>
      <c r="G127" s="5">
        <v>46117</v>
      </c>
      <c r="H127">
        <v>2</v>
      </c>
    </row>
    <row r="128" spans="1:8" x14ac:dyDescent="0.35">
      <c r="A128" t="s">
        <v>141</v>
      </c>
      <c r="B128" t="s">
        <v>8</v>
      </c>
      <c r="C128" t="s">
        <v>144</v>
      </c>
      <c r="D128" s="5">
        <v>46125</v>
      </c>
      <c r="E128" s="5">
        <v>46131</v>
      </c>
      <c r="F128" s="5">
        <v>46124</v>
      </c>
      <c r="G128" s="5">
        <v>46131</v>
      </c>
      <c r="H128">
        <v>3</v>
      </c>
    </row>
    <row r="129" spans="1:14" x14ac:dyDescent="0.35">
      <c r="A129" t="s">
        <v>141</v>
      </c>
      <c r="B129" t="s">
        <v>9</v>
      </c>
      <c r="C129" t="s">
        <v>145</v>
      </c>
      <c r="D129" s="5">
        <v>46132</v>
      </c>
      <c r="E129" s="5">
        <v>46138</v>
      </c>
      <c r="F129" s="5">
        <v>46124</v>
      </c>
      <c r="G129" s="5">
        <v>46131</v>
      </c>
      <c r="H129">
        <v>4</v>
      </c>
    </row>
    <row r="130" spans="1:14" x14ac:dyDescent="0.35">
      <c r="A130" t="s">
        <v>141</v>
      </c>
      <c r="B130" t="s">
        <v>10</v>
      </c>
      <c r="C130" t="s">
        <v>146</v>
      </c>
      <c r="D130" s="5">
        <v>46139</v>
      </c>
      <c r="E130" s="5">
        <v>46145</v>
      </c>
      <c r="F130" s="5">
        <v>46138</v>
      </c>
      <c r="G130" s="5">
        <v>46145</v>
      </c>
      <c r="H130">
        <v>5</v>
      </c>
    </row>
    <row r="131" spans="1:14" x14ac:dyDescent="0.35">
      <c r="A131" t="s">
        <v>141</v>
      </c>
      <c r="B131" t="s">
        <v>11</v>
      </c>
      <c r="C131" t="s">
        <v>147</v>
      </c>
      <c r="D131" s="5">
        <v>46146</v>
      </c>
      <c r="E131" s="5">
        <v>46152</v>
      </c>
      <c r="F131" s="5">
        <v>46138</v>
      </c>
      <c r="G131" s="5">
        <v>46145</v>
      </c>
      <c r="H131">
        <v>6</v>
      </c>
    </row>
    <row r="132" spans="1:14" x14ac:dyDescent="0.35">
      <c r="A132" t="s">
        <v>141</v>
      </c>
      <c r="B132" t="s">
        <v>12</v>
      </c>
      <c r="C132" t="s">
        <v>148</v>
      </c>
      <c r="D132" s="5">
        <v>46153</v>
      </c>
      <c r="E132" s="5">
        <v>46159</v>
      </c>
      <c r="F132" s="5">
        <v>46152</v>
      </c>
      <c r="G132" s="5">
        <v>46159</v>
      </c>
      <c r="H132">
        <v>7</v>
      </c>
    </row>
    <row r="133" spans="1:14" x14ac:dyDescent="0.35">
      <c r="A133" t="s">
        <v>141</v>
      </c>
      <c r="B133" t="s">
        <v>13</v>
      </c>
      <c r="C133" t="s">
        <v>149</v>
      </c>
      <c r="D133" s="5">
        <v>46160</v>
      </c>
      <c r="E133" s="5">
        <v>46166</v>
      </c>
      <c r="F133" s="5">
        <v>46152</v>
      </c>
      <c r="G133" s="5">
        <v>46159</v>
      </c>
      <c r="H133">
        <v>8</v>
      </c>
    </row>
    <row r="134" spans="1:14" x14ac:dyDescent="0.35">
      <c r="A134" t="s">
        <v>141</v>
      </c>
      <c r="B134" t="s">
        <v>14</v>
      </c>
      <c r="C134" t="s">
        <v>150</v>
      </c>
      <c r="D134" s="5">
        <v>46167</v>
      </c>
      <c r="E134" s="5">
        <v>46173</v>
      </c>
      <c r="F134" s="5">
        <v>46166</v>
      </c>
      <c r="G134" s="5">
        <v>46166</v>
      </c>
      <c r="H134">
        <v>9</v>
      </c>
    </row>
    <row r="135" spans="1:14" x14ac:dyDescent="0.35">
      <c r="A135" t="s">
        <v>141</v>
      </c>
      <c r="B135" t="s">
        <v>15</v>
      </c>
      <c r="C135" t="s">
        <v>150</v>
      </c>
      <c r="D135" s="5">
        <v>46167</v>
      </c>
      <c r="E135" s="5">
        <v>46173</v>
      </c>
      <c r="F135" s="5">
        <v>46166</v>
      </c>
      <c r="G135" s="5">
        <v>46166</v>
      </c>
      <c r="H135">
        <v>10</v>
      </c>
    </row>
    <row r="136" spans="1:14" x14ac:dyDescent="0.35">
      <c r="A136" t="s">
        <v>141</v>
      </c>
      <c r="B136" t="s">
        <v>16</v>
      </c>
      <c r="C136" t="s">
        <v>151</v>
      </c>
      <c r="D136" s="5">
        <v>46181</v>
      </c>
      <c r="E136" s="5">
        <v>46187</v>
      </c>
      <c r="F136" s="5">
        <v>46180</v>
      </c>
      <c r="G136" s="5">
        <v>46187</v>
      </c>
      <c r="H136">
        <v>11</v>
      </c>
    </row>
    <row r="137" spans="1:14" x14ac:dyDescent="0.35">
      <c r="A137" t="s">
        <v>141</v>
      </c>
      <c r="B137" t="s">
        <v>17</v>
      </c>
      <c r="C137" t="s">
        <v>152</v>
      </c>
      <c r="D137" s="5">
        <v>46188</v>
      </c>
      <c r="E137" s="5">
        <v>46194</v>
      </c>
      <c r="F137" s="5">
        <v>46180</v>
      </c>
      <c r="G137" s="5">
        <v>46187</v>
      </c>
      <c r="H137">
        <v>12</v>
      </c>
    </row>
    <row r="138" spans="1:14" x14ac:dyDescent="0.35">
      <c r="A138" t="s">
        <v>141</v>
      </c>
      <c r="B138" t="s">
        <v>18</v>
      </c>
      <c r="C138" t="s">
        <v>153</v>
      </c>
      <c r="D138" s="5">
        <v>46195</v>
      </c>
      <c r="E138" s="5">
        <v>46201</v>
      </c>
      <c r="F138" s="5">
        <v>46201</v>
      </c>
      <c r="G138" s="5">
        <v>46201</v>
      </c>
      <c r="H138">
        <v>13</v>
      </c>
    </row>
    <row r="139" spans="1:14" x14ac:dyDescent="0.35">
      <c r="A139" t="s">
        <v>155</v>
      </c>
      <c r="B139" t="s">
        <v>6</v>
      </c>
      <c r="C139" t="s">
        <v>156</v>
      </c>
      <c r="D139" s="5">
        <v>46202</v>
      </c>
      <c r="E139" s="5">
        <v>46208</v>
      </c>
      <c r="F139" s="5">
        <v>46201</v>
      </c>
      <c r="G139" s="5">
        <v>46208</v>
      </c>
      <c r="H139">
        <v>1</v>
      </c>
    </row>
    <row r="140" spans="1:14" x14ac:dyDescent="0.35">
      <c r="A140" t="s">
        <v>155</v>
      </c>
      <c r="B140" t="s">
        <v>7</v>
      </c>
      <c r="C140" t="s">
        <v>157</v>
      </c>
      <c r="D140" s="5">
        <v>46209</v>
      </c>
      <c r="E140" s="5">
        <v>46215</v>
      </c>
      <c r="F140" s="5">
        <v>46201</v>
      </c>
      <c r="G140" s="5">
        <v>46208</v>
      </c>
      <c r="H140">
        <v>2</v>
      </c>
    </row>
    <row r="141" spans="1:14" x14ac:dyDescent="0.35">
      <c r="A141" t="s">
        <v>155</v>
      </c>
      <c r="B141" t="s">
        <v>8</v>
      </c>
      <c r="C141" t="s">
        <v>158</v>
      </c>
      <c r="D141" s="5">
        <v>46216</v>
      </c>
      <c r="E141" s="5">
        <v>46222</v>
      </c>
      <c r="F141" s="5">
        <v>46215</v>
      </c>
      <c r="G141" s="5">
        <v>46222</v>
      </c>
      <c r="H141">
        <v>3</v>
      </c>
      <c r="L141" s="6"/>
      <c r="M141" s="6"/>
      <c r="N141" s="6"/>
    </row>
    <row r="142" spans="1:14" x14ac:dyDescent="0.35">
      <c r="A142" t="s">
        <v>155</v>
      </c>
      <c r="B142" t="s">
        <v>9</v>
      </c>
      <c r="C142" t="s">
        <v>159</v>
      </c>
      <c r="D142" s="5">
        <v>46223</v>
      </c>
      <c r="E142" s="5">
        <v>46229</v>
      </c>
      <c r="F142" s="5">
        <v>46215</v>
      </c>
      <c r="G142" s="5">
        <v>46222</v>
      </c>
      <c r="H142">
        <v>4</v>
      </c>
      <c r="L142" s="4"/>
      <c r="M142" s="5"/>
      <c r="N142" s="5"/>
    </row>
    <row r="143" spans="1:14" x14ac:dyDescent="0.35">
      <c r="A143" t="s">
        <v>155</v>
      </c>
      <c r="B143" t="s">
        <v>10</v>
      </c>
      <c r="C143" t="s">
        <v>160</v>
      </c>
      <c r="D143" s="5">
        <v>46230</v>
      </c>
      <c r="E143" s="5">
        <v>46236</v>
      </c>
      <c r="F143" s="5">
        <v>46229</v>
      </c>
      <c r="G143" s="5">
        <v>46236</v>
      </c>
      <c r="H143">
        <v>5</v>
      </c>
      <c r="L143" s="4"/>
      <c r="M143" s="5"/>
      <c r="N143" s="5"/>
    </row>
    <row r="144" spans="1:14" x14ac:dyDescent="0.35">
      <c r="A144" t="s">
        <v>155</v>
      </c>
      <c r="B144" t="s">
        <v>11</v>
      </c>
      <c r="C144" t="s">
        <v>161</v>
      </c>
      <c r="D144" s="5">
        <v>46237</v>
      </c>
      <c r="E144" s="5">
        <v>46243</v>
      </c>
      <c r="F144" s="5">
        <v>46229</v>
      </c>
      <c r="G144" s="5">
        <v>46236</v>
      </c>
      <c r="H144">
        <v>6</v>
      </c>
      <c r="L144" s="4"/>
      <c r="M144" s="5"/>
      <c r="N144" s="5"/>
    </row>
    <row r="145" spans="1:14" x14ac:dyDescent="0.35">
      <c r="A145" t="s">
        <v>155</v>
      </c>
      <c r="B145" t="s">
        <v>12</v>
      </c>
      <c r="C145" t="s">
        <v>162</v>
      </c>
      <c r="D145" s="5">
        <v>46244</v>
      </c>
      <c r="E145" s="5">
        <v>46250</v>
      </c>
      <c r="F145" s="5">
        <v>46243</v>
      </c>
      <c r="G145" s="5">
        <v>46250</v>
      </c>
      <c r="H145">
        <v>7</v>
      </c>
      <c r="L145" s="4"/>
      <c r="M145" s="5"/>
      <c r="N145" s="5"/>
    </row>
    <row r="146" spans="1:14" x14ac:dyDescent="0.35">
      <c r="A146" t="s">
        <v>155</v>
      </c>
      <c r="B146" t="s">
        <v>13</v>
      </c>
      <c r="C146" t="s">
        <v>163</v>
      </c>
      <c r="D146" s="5">
        <v>46251</v>
      </c>
      <c r="E146" s="5">
        <v>46257</v>
      </c>
      <c r="F146" s="5">
        <v>46243</v>
      </c>
      <c r="G146" s="5">
        <v>46250</v>
      </c>
      <c r="H146">
        <v>8</v>
      </c>
      <c r="L146" s="4"/>
      <c r="M146" s="5"/>
      <c r="N146" s="5"/>
    </row>
    <row r="147" spans="1:14" x14ac:dyDescent="0.35">
      <c r="A147" t="s">
        <v>155</v>
      </c>
      <c r="B147" t="s">
        <v>14</v>
      </c>
      <c r="C147" t="s">
        <v>164</v>
      </c>
      <c r="D147" s="5">
        <v>46258</v>
      </c>
      <c r="E147" s="5">
        <v>46264</v>
      </c>
      <c r="F147" s="5">
        <v>46257</v>
      </c>
      <c r="G147" s="5">
        <v>46264</v>
      </c>
      <c r="H147">
        <v>9</v>
      </c>
      <c r="L147" s="4"/>
      <c r="M147" s="5"/>
      <c r="N147" s="5"/>
    </row>
    <row r="148" spans="1:14" x14ac:dyDescent="0.35">
      <c r="A148" t="s">
        <v>155</v>
      </c>
      <c r="B148" t="s">
        <v>15</v>
      </c>
      <c r="C148" t="s">
        <v>165</v>
      </c>
      <c r="D148" s="5">
        <v>46265</v>
      </c>
      <c r="E148" s="5">
        <v>46271</v>
      </c>
      <c r="F148" s="5">
        <v>46257</v>
      </c>
      <c r="G148" s="5">
        <v>46264</v>
      </c>
      <c r="H148">
        <v>10</v>
      </c>
      <c r="L148" s="4"/>
      <c r="M148" s="5"/>
      <c r="N148" s="5"/>
    </row>
    <row r="149" spans="1:14" x14ac:dyDescent="0.35">
      <c r="A149" t="s">
        <v>155</v>
      </c>
      <c r="B149" t="s">
        <v>16</v>
      </c>
      <c r="C149" t="s">
        <v>166</v>
      </c>
      <c r="D149" s="5">
        <v>46272</v>
      </c>
      <c r="E149" s="5">
        <v>46278</v>
      </c>
      <c r="F149" s="5">
        <v>46271</v>
      </c>
      <c r="G149" s="5">
        <v>46278</v>
      </c>
      <c r="H149">
        <v>11</v>
      </c>
      <c r="L149" s="4"/>
      <c r="M149" s="5"/>
      <c r="N149" s="5"/>
    </row>
    <row r="150" spans="1:14" x14ac:dyDescent="0.35">
      <c r="A150" t="s">
        <v>155</v>
      </c>
      <c r="B150" t="s">
        <v>17</v>
      </c>
      <c r="C150" t="s">
        <v>167</v>
      </c>
      <c r="D150" s="5">
        <v>46279</v>
      </c>
      <c r="E150" s="5">
        <v>46285</v>
      </c>
      <c r="F150" s="5">
        <v>46271</v>
      </c>
      <c r="G150" s="5">
        <v>46278</v>
      </c>
      <c r="H150">
        <v>12</v>
      </c>
      <c r="L150" s="4"/>
      <c r="M150" s="5"/>
      <c r="N150" s="5"/>
    </row>
    <row r="151" spans="1:14" x14ac:dyDescent="0.35">
      <c r="A151" t="s">
        <v>155</v>
      </c>
      <c r="B151" t="s">
        <v>18</v>
      </c>
      <c r="C151" t="s">
        <v>168</v>
      </c>
      <c r="D151" s="5">
        <v>46286</v>
      </c>
      <c r="E151" s="5">
        <v>46292</v>
      </c>
      <c r="F151" s="5">
        <v>46292</v>
      </c>
      <c r="G151" s="5">
        <v>46292</v>
      </c>
      <c r="H151">
        <v>13</v>
      </c>
      <c r="L151" s="4"/>
      <c r="M151" s="5"/>
      <c r="N151" s="5"/>
    </row>
    <row r="152" spans="1:14" x14ac:dyDescent="0.35">
      <c r="A152" t="s">
        <v>122</v>
      </c>
      <c r="B152" t="s">
        <v>6</v>
      </c>
      <c r="C152" t="s">
        <v>170</v>
      </c>
      <c r="D152" s="5">
        <v>46293</v>
      </c>
      <c r="E152" s="5">
        <v>46299</v>
      </c>
      <c r="F152" s="5">
        <v>46292</v>
      </c>
      <c r="G152" s="5">
        <v>46299</v>
      </c>
      <c r="H152">
        <v>1</v>
      </c>
      <c r="L152" s="4"/>
      <c r="M152" s="5"/>
      <c r="N152" s="5"/>
    </row>
    <row r="153" spans="1:14" x14ac:dyDescent="0.35">
      <c r="A153" t="s">
        <v>122</v>
      </c>
      <c r="B153" t="s">
        <v>7</v>
      </c>
      <c r="C153" t="s">
        <v>171</v>
      </c>
      <c r="D153" s="5">
        <v>46300</v>
      </c>
      <c r="E153" s="5">
        <v>46306</v>
      </c>
      <c r="F153" s="5">
        <v>46292</v>
      </c>
      <c r="G153" s="5">
        <v>46299</v>
      </c>
      <c r="H153">
        <v>2</v>
      </c>
      <c r="L153" s="4"/>
      <c r="M153" s="5"/>
      <c r="N153" s="5"/>
    </row>
    <row r="154" spans="1:14" x14ac:dyDescent="0.35">
      <c r="A154" t="s">
        <v>122</v>
      </c>
      <c r="B154" t="s">
        <v>8</v>
      </c>
      <c r="C154" t="s">
        <v>172</v>
      </c>
      <c r="D154" s="5">
        <v>46307</v>
      </c>
      <c r="E154" s="5">
        <v>46313</v>
      </c>
      <c r="F154" s="5">
        <v>46306</v>
      </c>
      <c r="G154" s="5">
        <v>46313</v>
      </c>
      <c r="H154">
        <v>3</v>
      </c>
      <c r="L154" s="4"/>
      <c r="M154" s="5"/>
      <c r="N154" s="5"/>
    </row>
    <row r="155" spans="1:14" x14ac:dyDescent="0.35">
      <c r="A155" t="s">
        <v>122</v>
      </c>
      <c r="B155" t="s">
        <v>9</v>
      </c>
      <c r="C155" t="s">
        <v>173</v>
      </c>
      <c r="D155" s="5">
        <v>46314</v>
      </c>
      <c r="E155" s="5">
        <v>46320</v>
      </c>
      <c r="F155" s="5">
        <v>46306</v>
      </c>
      <c r="G155" s="5">
        <v>46313</v>
      </c>
      <c r="H155">
        <v>4</v>
      </c>
    </row>
    <row r="156" spans="1:14" x14ac:dyDescent="0.35">
      <c r="A156" t="s">
        <v>122</v>
      </c>
      <c r="B156" t="s">
        <v>10</v>
      </c>
      <c r="C156" t="s">
        <v>174</v>
      </c>
      <c r="D156" s="5">
        <v>46321</v>
      </c>
      <c r="E156" s="5">
        <v>46327</v>
      </c>
      <c r="F156" s="5">
        <v>46320</v>
      </c>
      <c r="G156" s="5">
        <v>46327</v>
      </c>
      <c r="H156">
        <v>5</v>
      </c>
    </row>
    <row r="157" spans="1:14" x14ac:dyDescent="0.35">
      <c r="A157" t="s">
        <v>122</v>
      </c>
      <c r="B157" t="s">
        <v>11</v>
      </c>
      <c r="C157" t="s">
        <v>175</v>
      </c>
      <c r="D157" s="5">
        <v>46328</v>
      </c>
      <c r="E157" s="5">
        <v>46334</v>
      </c>
      <c r="F157" s="5">
        <v>46320</v>
      </c>
      <c r="G157" s="5">
        <v>46327</v>
      </c>
      <c r="H157">
        <v>6</v>
      </c>
    </row>
    <row r="158" spans="1:14" x14ac:dyDescent="0.35">
      <c r="A158" t="s">
        <v>122</v>
      </c>
      <c r="B158" t="s">
        <v>12</v>
      </c>
      <c r="C158" t="s">
        <v>176</v>
      </c>
      <c r="D158" s="5">
        <v>46335</v>
      </c>
      <c r="E158" s="5">
        <v>46341</v>
      </c>
      <c r="F158" s="5">
        <v>46334</v>
      </c>
      <c r="G158" s="5">
        <v>46341</v>
      </c>
      <c r="H158">
        <v>7</v>
      </c>
    </row>
    <row r="159" spans="1:14" x14ac:dyDescent="0.35">
      <c r="A159" t="s">
        <v>122</v>
      </c>
      <c r="B159" t="s">
        <v>13</v>
      </c>
      <c r="C159" t="s">
        <v>177</v>
      </c>
      <c r="D159" s="5">
        <v>46342</v>
      </c>
      <c r="E159" s="5">
        <v>46348</v>
      </c>
      <c r="F159" s="5">
        <v>46334</v>
      </c>
      <c r="G159" s="5">
        <v>46341</v>
      </c>
      <c r="H159">
        <v>8</v>
      </c>
    </row>
    <row r="160" spans="1:14" x14ac:dyDescent="0.35">
      <c r="A160" t="s">
        <v>122</v>
      </c>
      <c r="B160" t="s">
        <v>14</v>
      </c>
      <c r="C160" t="s">
        <v>178</v>
      </c>
      <c r="D160" s="5">
        <v>46349</v>
      </c>
      <c r="E160" s="5">
        <v>46355</v>
      </c>
      <c r="F160" s="5">
        <v>46348</v>
      </c>
      <c r="G160" s="5">
        <v>46355</v>
      </c>
      <c r="H160">
        <v>9</v>
      </c>
    </row>
    <row r="161" spans="1:8" x14ac:dyDescent="0.35">
      <c r="A161" t="s">
        <v>122</v>
      </c>
      <c r="B161" t="s">
        <v>15</v>
      </c>
      <c r="C161" t="s">
        <v>179</v>
      </c>
      <c r="D161" s="5">
        <v>46356</v>
      </c>
      <c r="E161" s="5">
        <v>46362</v>
      </c>
      <c r="F161" s="5">
        <v>46348</v>
      </c>
      <c r="G161" s="5">
        <v>46355</v>
      </c>
      <c r="H161">
        <v>10</v>
      </c>
    </row>
    <row r="162" spans="1:8" x14ac:dyDescent="0.35">
      <c r="A162" t="s">
        <v>122</v>
      </c>
      <c r="B162" t="s">
        <v>16</v>
      </c>
      <c r="C162" t="s">
        <v>180</v>
      </c>
      <c r="D162" s="5">
        <v>46363</v>
      </c>
      <c r="E162" s="5">
        <v>46369</v>
      </c>
      <c r="F162" s="5">
        <v>46362</v>
      </c>
      <c r="G162" s="5">
        <v>46369</v>
      </c>
      <c r="H162">
        <v>11</v>
      </c>
    </row>
    <row r="163" spans="1:8" x14ac:dyDescent="0.35">
      <c r="A163" t="s">
        <v>122</v>
      </c>
      <c r="B163" t="s">
        <v>17</v>
      </c>
      <c r="C163" t="s">
        <v>181</v>
      </c>
      <c r="D163" s="5">
        <v>46370</v>
      </c>
      <c r="E163" s="5">
        <v>46376</v>
      </c>
      <c r="F163" s="5">
        <v>46362</v>
      </c>
      <c r="G163" s="5">
        <v>46369</v>
      </c>
      <c r="H163">
        <v>12</v>
      </c>
    </row>
    <row r="164" spans="1:8" x14ac:dyDescent="0.35">
      <c r="A164" t="s">
        <v>122</v>
      </c>
      <c r="B164" t="s">
        <v>18</v>
      </c>
      <c r="C164" t="s">
        <v>182</v>
      </c>
      <c r="D164" s="5">
        <v>46377</v>
      </c>
      <c r="E164" s="5">
        <v>46383</v>
      </c>
      <c r="F164" s="5">
        <v>46383</v>
      </c>
      <c r="G164" s="5">
        <v>46383</v>
      </c>
      <c r="H164">
        <v>13</v>
      </c>
    </row>
    <row r="165" spans="1:8" x14ac:dyDescent="0.35">
      <c r="A165" t="s">
        <v>138</v>
      </c>
      <c r="B165" t="s">
        <v>6</v>
      </c>
      <c r="C165" t="s">
        <v>183</v>
      </c>
      <c r="D165" s="5">
        <v>46384</v>
      </c>
      <c r="E165" s="5">
        <v>46390</v>
      </c>
      <c r="F165" s="5">
        <v>46383</v>
      </c>
      <c r="G165" s="5">
        <v>46390</v>
      </c>
      <c r="H165">
        <v>1</v>
      </c>
    </row>
    <row r="166" spans="1:8" x14ac:dyDescent="0.35">
      <c r="A166" t="s">
        <v>138</v>
      </c>
      <c r="B166" t="s">
        <v>7</v>
      </c>
      <c r="C166" t="s">
        <v>184</v>
      </c>
      <c r="D166" s="5">
        <v>46391</v>
      </c>
      <c r="E166" s="5">
        <v>46397</v>
      </c>
      <c r="F166" s="5">
        <v>46383</v>
      </c>
      <c r="G166" s="5">
        <v>46390</v>
      </c>
      <c r="H166">
        <v>2</v>
      </c>
    </row>
    <row r="167" spans="1:8" x14ac:dyDescent="0.35">
      <c r="A167" t="s">
        <v>138</v>
      </c>
      <c r="B167" t="s">
        <v>8</v>
      </c>
      <c r="C167" t="s">
        <v>185</v>
      </c>
      <c r="D167" s="5">
        <v>46398</v>
      </c>
      <c r="E167" s="5">
        <v>46404</v>
      </c>
      <c r="F167" s="5">
        <v>46397</v>
      </c>
      <c r="G167" s="5">
        <v>46404</v>
      </c>
      <c r="H167">
        <v>3</v>
      </c>
    </row>
    <row r="168" spans="1:8" x14ac:dyDescent="0.35">
      <c r="A168" t="s">
        <v>138</v>
      </c>
      <c r="B168" t="s">
        <v>9</v>
      </c>
      <c r="C168" t="s">
        <v>186</v>
      </c>
      <c r="D168" s="5">
        <v>46405</v>
      </c>
      <c r="E168" s="5">
        <v>46411</v>
      </c>
      <c r="F168" s="5">
        <v>46397</v>
      </c>
      <c r="G168" s="5">
        <v>46404</v>
      </c>
      <c r="H168">
        <v>4</v>
      </c>
    </row>
    <row r="169" spans="1:8" x14ac:dyDescent="0.35">
      <c r="A169" t="s">
        <v>138</v>
      </c>
      <c r="B169" t="s">
        <v>10</v>
      </c>
      <c r="C169" t="s">
        <v>187</v>
      </c>
      <c r="D169" s="5">
        <v>46412</v>
      </c>
      <c r="E169" s="5">
        <v>46418</v>
      </c>
      <c r="F169" s="5">
        <v>46411</v>
      </c>
      <c r="G169" s="5">
        <v>46418</v>
      </c>
      <c r="H169">
        <v>5</v>
      </c>
    </row>
    <row r="170" spans="1:8" x14ac:dyDescent="0.35">
      <c r="A170" t="s">
        <v>138</v>
      </c>
      <c r="B170" t="s">
        <v>11</v>
      </c>
      <c r="C170" t="s">
        <v>188</v>
      </c>
      <c r="D170" s="5">
        <v>46419</v>
      </c>
      <c r="E170" s="5">
        <v>46425</v>
      </c>
      <c r="F170" s="5">
        <v>46411</v>
      </c>
      <c r="G170" s="5">
        <v>46418</v>
      </c>
      <c r="H170">
        <v>6</v>
      </c>
    </row>
    <row r="171" spans="1:8" x14ac:dyDescent="0.35">
      <c r="A171" t="s">
        <v>138</v>
      </c>
      <c r="B171" t="s">
        <v>12</v>
      </c>
      <c r="C171" t="s">
        <v>189</v>
      </c>
      <c r="D171" s="5">
        <v>46426</v>
      </c>
      <c r="E171" s="5">
        <v>46432</v>
      </c>
      <c r="F171" s="5">
        <v>46425</v>
      </c>
      <c r="G171" s="5">
        <v>46432</v>
      </c>
      <c r="H171">
        <v>7</v>
      </c>
    </row>
    <row r="172" spans="1:8" x14ac:dyDescent="0.35">
      <c r="A172" t="s">
        <v>138</v>
      </c>
      <c r="B172" t="s">
        <v>13</v>
      </c>
      <c r="C172" t="s">
        <v>190</v>
      </c>
      <c r="D172" s="5">
        <v>46433</v>
      </c>
      <c r="E172" s="5">
        <v>46439</v>
      </c>
      <c r="F172" s="5">
        <v>46425</v>
      </c>
      <c r="G172" s="5">
        <v>46432</v>
      </c>
      <c r="H172">
        <v>8</v>
      </c>
    </row>
    <row r="173" spans="1:8" x14ac:dyDescent="0.35">
      <c r="A173" t="s">
        <v>138</v>
      </c>
      <c r="B173" t="s">
        <v>14</v>
      </c>
      <c r="C173" t="s">
        <v>191</v>
      </c>
      <c r="D173" s="5">
        <v>46440</v>
      </c>
      <c r="E173" s="5">
        <v>46446</v>
      </c>
      <c r="F173" s="5">
        <v>46439</v>
      </c>
      <c r="G173" s="5">
        <v>46446</v>
      </c>
      <c r="H173">
        <v>9</v>
      </c>
    </row>
    <row r="174" spans="1:8" x14ac:dyDescent="0.35">
      <c r="A174" t="s">
        <v>138</v>
      </c>
      <c r="B174" t="s">
        <v>15</v>
      </c>
      <c r="C174" t="s">
        <v>192</v>
      </c>
      <c r="D174" s="5">
        <v>46447</v>
      </c>
      <c r="E174" s="5">
        <v>46453</v>
      </c>
      <c r="F174" s="5">
        <v>46439</v>
      </c>
      <c r="G174" s="5">
        <v>46446</v>
      </c>
      <c r="H174">
        <v>10</v>
      </c>
    </row>
    <row r="175" spans="1:8" x14ac:dyDescent="0.35">
      <c r="A175" t="s">
        <v>138</v>
      </c>
      <c r="B175" t="s">
        <v>16</v>
      </c>
      <c r="C175" t="s">
        <v>193</v>
      </c>
      <c r="D175" s="5">
        <v>46454</v>
      </c>
      <c r="E175" s="5">
        <v>46460</v>
      </c>
      <c r="F175" s="5">
        <v>46453</v>
      </c>
      <c r="G175" s="5">
        <v>46460</v>
      </c>
      <c r="H175">
        <v>11</v>
      </c>
    </row>
    <row r="176" spans="1:8" x14ac:dyDescent="0.35">
      <c r="A176" t="s">
        <v>138</v>
      </c>
      <c r="B176" t="s">
        <v>17</v>
      </c>
      <c r="C176" t="s">
        <v>194</v>
      </c>
      <c r="D176" s="5">
        <v>46461</v>
      </c>
      <c r="E176" s="5">
        <v>46467</v>
      </c>
      <c r="F176" s="5">
        <v>46453</v>
      </c>
      <c r="G176" s="5">
        <v>46460</v>
      </c>
      <c r="H176">
        <v>12</v>
      </c>
    </row>
    <row r="177" spans="1:8" x14ac:dyDescent="0.35">
      <c r="A177" t="s">
        <v>138</v>
      </c>
      <c r="B177" t="s">
        <v>18</v>
      </c>
      <c r="C177" t="s">
        <v>195</v>
      </c>
      <c r="D177" s="5">
        <v>46468</v>
      </c>
      <c r="E177" s="5">
        <v>46474</v>
      </c>
      <c r="F177" s="5">
        <v>46474</v>
      </c>
      <c r="G177" s="5">
        <v>46474</v>
      </c>
      <c r="H177">
        <v>13</v>
      </c>
    </row>
    <row r="178" spans="1:8" x14ac:dyDescent="0.35">
      <c r="A178" t="s">
        <v>154</v>
      </c>
      <c r="B178" t="s">
        <v>6</v>
      </c>
      <c r="C178" t="s">
        <v>196</v>
      </c>
      <c r="D178" s="5">
        <v>46475</v>
      </c>
      <c r="E178" s="5">
        <v>46481</v>
      </c>
      <c r="F178" s="5">
        <v>46474</v>
      </c>
      <c r="G178" s="5">
        <v>46481</v>
      </c>
      <c r="H178">
        <v>1</v>
      </c>
    </row>
    <row r="179" spans="1:8" x14ac:dyDescent="0.35">
      <c r="A179" t="s">
        <v>154</v>
      </c>
      <c r="B179" t="s">
        <v>7</v>
      </c>
      <c r="C179" t="s">
        <v>197</v>
      </c>
      <c r="D179" s="5">
        <v>46482</v>
      </c>
      <c r="E179" s="5">
        <v>46488</v>
      </c>
      <c r="F179" s="5">
        <v>46474</v>
      </c>
      <c r="G179" s="5">
        <v>46481</v>
      </c>
      <c r="H179">
        <v>2</v>
      </c>
    </row>
    <row r="180" spans="1:8" x14ac:dyDescent="0.35">
      <c r="A180" t="s">
        <v>154</v>
      </c>
      <c r="B180" t="s">
        <v>8</v>
      </c>
      <c r="C180" t="s">
        <v>198</v>
      </c>
      <c r="D180" s="5">
        <v>46489</v>
      </c>
      <c r="E180" s="5">
        <v>46495</v>
      </c>
      <c r="F180" s="5">
        <v>46488</v>
      </c>
      <c r="G180" s="5">
        <v>46495</v>
      </c>
      <c r="H180">
        <v>3</v>
      </c>
    </row>
    <row r="181" spans="1:8" x14ac:dyDescent="0.35">
      <c r="A181" t="s">
        <v>154</v>
      </c>
      <c r="B181" t="s">
        <v>9</v>
      </c>
      <c r="C181" t="s">
        <v>199</v>
      </c>
      <c r="D181" s="5">
        <v>46496</v>
      </c>
      <c r="E181" s="5">
        <v>46502</v>
      </c>
      <c r="F181" s="5">
        <v>46488</v>
      </c>
      <c r="G181" s="5">
        <v>46495</v>
      </c>
      <c r="H181">
        <v>4</v>
      </c>
    </row>
    <row r="182" spans="1:8" x14ac:dyDescent="0.35">
      <c r="A182" t="s">
        <v>154</v>
      </c>
      <c r="B182" t="s">
        <v>10</v>
      </c>
      <c r="C182" t="s">
        <v>200</v>
      </c>
      <c r="D182" s="5">
        <v>46503</v>
      </c>
      <c r="E182" s="5">
        <v>46509</v>
      </c>
      <c r="F182" s="5">
        <v>46502</v>
      </c>
      <c r="G182" s="5">
        <v>46509</v>
      </c>
      <c r="H182">
        <v>5</v>
      </c>
    </row>
    <row r="183" spans="1:8" x14ac:dyDescent="0.35">
      <c r="A183" t="s">
        <v>154</v>
      </c>
      <c r="B183" t="s">
        <v>11</v>
      </c>
      <c r="C183" t="s">
        <v>201</v>
      </c>
      <c r="D183" s="5">
        <v>46510</v>
      </c>
      <c r="E183" s="5">
        <v>46516</v>
      </c>
      <c r="F183" s="5">
        <v>46502</v>
      </c>
      <c r="G183" s="5">
        <v>46509</v>
      </c>
      <c r="H183">
        <v>6</v>
      </c>
    </row>
    <row r="184" spans="1:8" x14ac:dyDescent="0.35">
      <c r="A184" t="s">
        <v>154</v>
      </c>
      <c r="B184" t="s">
        <v>12</v>
      </c>
      <c r="C184" t="s">
        <v>202</v>
      </c>
      <c r="D184" s="5">
        <v>46517</v>
      </c>
      <c r="E184" s="5">
        <v>46523</v>
      </c>
      <c r="F184" s="5">
        <v>46516</v>
      </c>
      <c r="G184" s="5">
        <v>46523</v>
      </c>
      <c r="H184">
        <v>7</v>
      </c>
    </row>
    <row r="185" spans="1:8" x14ac:dyDescent="0.35">
      <c r="A185" t="s">
        <v>154</v>
      </c>
      <c r="B185" t="s">
        <v>13</v>
      </c>
      <c r="C185" t="s">
        <v>203</v>
      </c>
      <c r="D185" s="5">
        <v>46524</v>
      </c>
      <c r="E185" s="5">
        <v>46530</v>
      </c>
      <c r="F185" s="5">
        <v>46516</v>
      </c>
      <c r="G185" s="5">
        <v>46523</v>
      </c>
      <c r="H185">
        <v>8</v>
      </c>
    </row>
    <row r="186" spans="1:8" x14ac:dyDescent="0.35">
      <c r="A186" t="s">
        <v>154</v>
      </c>
      <c r="B186" t="s">
        <v>14</v>
      </c>
      <c r="C186" t="s">
        <v>204</v>
      </c>
      <c r="D186" s="5">
        <v>46531</v>
      </c>
      <c r="E186" s="5">
        <v>46537</v>
      </c>
      <c r="F186" s="5">
        <v>46530</v>
      </c>
      <c r="G186" s="5">
        <v>46537</v>
      </c>
      <c r="H186">
        <v>9</v>
      </c>
    </row>
    <row r="187" spans="1:8" x14ac:dyDescent="0.35">
      <c r="A187" t="s">
        <v>154</v>
      </c>
      <c r="B187" t="s">
        <v>15</v>
      </c>
      <c r="C187" t="s">
        <v>205</v>
      </c>
      <c r="D187" s="5">
        <v>46538</v>
      </c>
      <c r="E187" s="5">
        <v>46544</v>
      </c>
      <c r="F187" s="5">
        <v>46530</v>
      </c>
      <c r="G187" s="5">
        <v>46537</v>
      </c>
      <c r="H187">
        <v>10</v>
      </c>
    </row>
    <row r="188" spans="1:8" x14ac:dyDescent="0.35">
      <c r="A188" t="s">
        <v>154</v>
      </c>
      <c r="B188" t="s">
        <v>16</v>
      </c>
      <c r="C188" t="s">
        <v>206</v>
      </c>
      <c r="D188" s="5">
        <v>46545</v>
      </c>
      <c r="E188" s="5">
        <v>46551</v>
      </c>
      <c r="F188" s="5">
        <v>46544</v>
      </c>
      <c r="G188" s="5">
        <v>46551</v>
      </c>
      <c r="H188">
        <v>11</v>
      </c>
    </row>
    <row r="189" spans="1:8" x14ac:dyDescent="0.35">
      <c r="A189" t="s">
        <v>154</v>
      </c>
      <c r="B189" t="s">
        <v>17</v>
      </c>
      <c r="C189" t="s">
        <v>207</v>
      </c>
      <c r="D189" s="5">
        <v>46552</v>
      </c>
      <c r="E189" s="5">
        <v>46558</v>
      </c>
      <c r="F189" s="5">
        <v>46544</v>
      </c>
      <c r="G189" s="5">
        <v>46551</v>
      </c>
      <c r="H189">
        <v>12</v>
      </c>
    </row>
    <row r="190" spans="1:8" x14ac:dyDescent="0.35">
      <c r="A190" t="s">
        <v>154</v>
      </c>
      <c r="B190" t="s">
        <v>18</v>
      </c>
      <c r="C190" t="s">
        <v>208</v>
      </c>
      <c r="D190" s="5">
        <v>46559</v>
      </c>
      <c r="E190" s="5">
        <v>46565</v>
      </c>
      <c r="F190" s="5">
        <v>46565</v>
      </c>
      <c r="G190" s="5">
        <v>46565</v>
      </c>
      <c r="H190">
        <v>13</v>
      </c>
    </row>
    <row r="191" spans="1:8" x14ac:dyDescent="0.35">
      <c r="A191" t="s">
        <v>169</v>
      </c>
      <c r="B191" t="s">
        <v>6</v>
      </c>
      <c r="C191" t="s">
        <v>209</v>
      </c>
      <c r="D191" s="5">
        <v>46566</v>
      </c>
      <c r="E191" s="5">
        <v>46572</v>
      </c>
      <c r="F191" s="5">
        <v>46565</v>
      </c>
      <c r="G191" s="5">
        <v>46572</v>
      </c>
      <c r="H191">
        <v>1</v>
      </c>
    </row>
    <row r="192" spans="1:8" x14ac:dyDescent="0.35">
      <c r="A192" t="s">
        <v>169</v>
      </c>
      <c r="B192" t="s">
        <v>7</v>
      </c>
      <c r="C192" t="s">
        <v>210</v>
      </c>
      <c r="D192" s="5">
        <v>46573</v>
      </c>
      <c r="E192" s="5">
        <v>46579</v>
      </c>
      <c r="F192" s="5">
        <v>46565</v>
      </c>
      <c r="G192" s="5">
        <v>46572</v>
      </c>
      <c r="H192">
        <v>2</v>
      </c>
    </row>
    <row r="193" spans="1:8" x14ac:dyDescent="0.35">
      <c r="A193" t="s">
        <v>169</v>
      </c>
      <c r="B193" t="s">
        <v>8</v>
      </c>
      <c r="C193" t="s">
        <v>211</v>
      </c>
      <c r="D193" s="5">
        <v>46580</v>
      </c>
      <c r="E193" s="5">
        <v>46586</v>
      </c>
      <c r="F193" s="5">
        <v>46579</v>
      </c>
      <c r="G193" s="5">
        <v>46586</v>
      </c>
      <c r="H193">
        <v>3</v>
      </c>
    </row>
    <row r="194" spans="1:8" x14ac:dyDescent="0.35">
      <c r="A194" t="s">
        <v>169</v>
      </c>
      <c r="B194" t="s">
        <v>9</v>
      </c>
      <c r="C194" t="s">
        <v>212</v>
      </c>
      <c r="D194" s="5">
        <v>46587</v>
      </c>
      <c r="E194" s="5">
        <v>46593</v>
      </c>
      <c r="F194" s="5">
        <v>46579</v>
      </c>
      <c r="G194" s="5">
        <v>46586</v>
      </c>
      <c r="H194">
        <v>4</v>
      </c>
    </row>
    <row r="195" spans="1:8" x14ac:dyDescent="0.35">
      <c r="A195" t="s">
        <v>169</v>
      </c>
      <c r="B195" t="s">
        <v>10</v>
      </c>
      <c r="C195" t="s">
        <v>213</v>
      </c>
      <c r="D195" s="5">
        <v>46594</v>
      </c>
      <c r="E195" s="5">
        <v>46600</v>
      </c>
      <c r="F195" s="5">
        <v>46593</v>
      </c>
      <c r="G195" s="5">
        <v>46600</v>
      </c>
      <c r="H195">
        <v>5</v>
      </c>
    </row>
    <row r="196" spans="1:8" x14ac:dyDescent="0.35">
      <c r="A196" t="s">
        <v>169</v>
      </c>
      <c r="B196" t="s">
        <v>11</v>
      </c>
      <c r="C196" t="s">
        <v>214</v>
      </c>
      <c r="D196" s="5">
        <v>46601</v>
      </c>
      <c r="E196" s="5">
        <v>46607</v>
      </c>
      <c r="F196" s="5">
        <v>46593</v>
      </c>
      <c r="G196" s="5">
        <v>46600</v>
      </c>
      <c r="H196">
        <v>6</v>
      </c>
    </row>
    <row r="197" spans="1:8" x14ac:dyDescent="0.35">
      <c r="A197" t="s">
        <v>169</v>
      </c>
      <c r="B197" t="s">
        <v>12</v>
      </c>
      <c r="C197" t="s">
        <v>215</v>
      </c>
      <c r="D197" s="5">
        <v>46608</v>
      </c>
      <c r="E197" s="5">
        <v>46614</v>
      </c>
      <c r="F197" s="5">
        <v>46607</v>
      </c>
      <c r="G197" s="5">
        <v>46614</v>
      </c>
      <c r="H197">
        <v>7</v>
      </c>
    </row>
    <row r="198" spans="1:8" x14ac:dyDescent="0.35">
      <c r="A198" t="s">
        <v>169</v>
      </c>
      <c r="B198" t="s">
        <v>13</v>
      </c>
      <c r="C198" t="s">
        <v>216</v>
      </c>
      <c r="D198" s="5">
        <v>46615</v>
      </c>
      <c r="E198" s="5">
        <v>46621</v>
      </c>
      <c r="F198" s="5">
        <v>46607</v>
      </c>
      <c r="G198" s="5">
        <v>46614</v>
      </c>
      <c r="H198">
        <v>8</v>
      </c>
    </row>
    <row r="199" spans="1:8" x14ac:dyDescent="0.35">
      <c r="A199" t="s">
        <v>169</v>
      </c>
      <c r="B199" t="s">
        <v>14</v>
      </c>
      <c r="C199" t="s">
        <v>217</v>
      </c>
      <c r="D199" s="5">
        <v>46622</v>
      </c>
      <c r="E199" s="5">
        <v>46628</v>
      </c>
      <c r="F199" s="5">
        <v>46621</v>
      </c>
      <c r="G199" s="5">
        <v>46628</v>
      </c>
      <c r="H199">
        <v>9</v>
      </c>
    </row>
    <row r="200" spans="1:8" x14ac:dyDescent="0.35">
      <c r="A200" t="s">
        <v>169</v>
      </c>
      <c r="B200" t="s">
        <v>15</v>
      </c>
      <c r="C200" t="s">
        <v>218</v>
      </c>
      <c r="D200" s="5">
        <v>46629</v>
      </c>
      <c r="E200" s="5">
        <v>46635</v>
      </c>
      <c r="F200" s="5">
        <v>46621</v>
      </c>
      <c r="G200" s="5">
        <v>46628</v>
      </c>
      <c r="H200">
        <v>10</v>
      </c>
    </row>
    <row r="201" spans="1:8" x14ac:dyDescent="0.35">
      <c r="A201" t="s">
        <v>169</v>
      </c>
      <c r="B201" t="s">
        <v>16</v>
      </c>
      <c r="C201" t="s">
        <v>219</v>
      </c>
      <c r="D201" s="5">
        <v>46636</v>
      </c>
      <c r="E201" s="5">
        <v>46642</v>
      </c>
      <c r="F201" s="5">
        <v>46635</v>
      </c>
      <c r="G201" s="5">
        <v>46642</v>
      </c>
      <c r="H201">
        <v>11</v>
      </c>
    </row>
    <row r="202" spans="1:8" x14ac:dyDescent="0.35">
      <c r="A202" t="s">
        <v>169</v>
      </c>
      <c r="B202" t="s">
        <v>17</v>
      </c>
      <c r="C202" t="s">
        <v>220</v>
      </c>
      <c r="D202" s="5">
        <v>46643</v>
      </c>
      <c r="E202" s="5">
        <v>46649</v>
      </c>
      <c r="F202" s="5">
        <v>46635</v>
      </c>
      <c r="G202" s="5">
        <v>46642</v>
      </c>
      <c r="H202">
        <v>12</v>
      </c>
    </row>
    <row r="203" spans="1:8" x14ac:dyDescent="0.35">
      <c r="A203" t="s">
        <v>169</v>
      </c>
      <c r="B203" t="s">
        <v>18</v>
      </c>
      <c r="C203" t="s">
        <v>221</v>
      </c>
      <c r="D203" s="5">
        <v>46650</v>
      </c>
      <c r="E203" s="5">
        <v>46656</v>
      </c>
      <c r="F203" s="5">
        <v>46656</v>
      </c>
      <c r="G203" s="5">
        <v>46656</v>
      </c>
      <c r="H203">
        <v>13</v>
      </c>
    </row>
    <row r="204" spans="1:8" x14ac:dyDescent="0.35">
      <c r="A204" t="s">
        <v>123</v>
      </c>
      <c r="B204" t="s">
        <v>6</v>
      </c>
      <c r="C204" t="s">
        <v>222</v>
      </c>
      <c r="D204" s="5">
        <v>46657</v>
      </c>
      <c r="E204" s="5">
        <v>46663</v>
      </c>
      <c r="F204" s="5">
        <v>46656</v>
      </c>
      <c r="G204" s="5">
        <v>46663</v>
      </c>
      <c r="H204">
        <v>1</v>
      </c>
    </row>
    <row r="205" spans="1:8" x14ac:dyDescent="0.35">
      <c r="A205" t="s">
        <v>123</v>
      </c>
      <c r="B205" t="s">
        <v>7</v>
      </c>
      <c r="C205" t="s">
        <v>223</v>
      </c>
      <c r="D205" s="5">
        <v>46664</v>
      </c>
      <c r="E205" s="5">
        <v>46670</v>
      </c>
      <c r="F205" s="5">
        <v>46656</v>
      </c>
      <c r="G205" s="5">
        <v>46663</v>
      </c>
      <c r="H205">
        <v>2</v>
      </c>
    </row>
    <row r="206" spans="1:8" x14ac:dyDescent="0.35">
      <c r="A206" t="s">
        <v>123</v>
      </c>
      <c r="B206" t="s">
        <v>8</v>
      </c>
      <c r="C206" t="s">
        <v>224</v>
      </c>
      <c r="D206" s="5">
        <v>46671</v>
      </c>
      <c r="E206" s="5">
        <v>46677</v>
      </c>
      <c r="F206" s="5">
        <v>46670</v>
      </c>
      <c r="G206" s="5">
        <v>46677</v>
      </c>
      <c r="H206">
        <v>3</v>
      </c>
    </row>
    <row r="207" spans="1:8" x14ac:dyDescent="0.35">
      <c r="A207" t="s">
        <v>123</v>
      </c>
      <c r="B207" t="s">
        <v>9</v>
      </c>
      <c r="C207" t="s">
        <v>225</v>
      </c>
      <c r="D207" s="5">
        <v>46678</v>
      </c>
      <c r="E207" s="5">
        <v>46684</v>
      </c>
      <c r="F207" s="5">
        <v>46670</v>
      </c>
      <c r="G207" s="5">
        <v>46677</v>
      </c>
      <c r="H207">
        <v>4</v>
      </c>
    </row>
    <row r="208" spans="1:8" x14ac:dyDescent="0.35">
      <c r="A208" t="s">
        <v>123</v>
      </c>
      <c r="B208" t="s">
        <v>10</v>
      </c>
      <c r="C208" t="s">
        <v>226</v>
      </c>
      <c r="D208" s="5">
        <v>46685</v>
      </c>
      <c r="E208" s="5">
        <v>46691</v>
      </c>
      <c r="F208" s="5">
        <v>46684</v>
      </c>
      <c r="G208" s="5">
        <v>46691</v>
      </c>
      <c r="H208">
        <v>5</v>
      </c>
    </row>
    <row r="209" spans="1:12" x14ac:dyDescent="0.35">
      <c r="A209" t="s">
        <v>123</v>
      </c>
      <c r="B209" t="s">
        <v>11</v>
      </c>
      <c r="C209" t="s">
        <v>227</v>
      </c>
      <c r="D209" s="5">
        <v>46692</v>
      </c>
      <c r="E209" s="5">
        <v>46698</v>
      </c>
      <c r="F209" s="5">
        <v>46684</v>
      </c>
      <c r="G209" s="5">
        <v>46691</v>
      </c>
      <c r="H209">
        <v>6</v>
      </c>
    </row>
    <row r="210" spans="1:12" x14ac:dyDescent="0.35">
      <c r="A210" t="s">
        <v>123</v>
      </c>
      <c r="B210" t="s">
        <v>12</v>
      </c>
      <c r="C210" t="s">
        <v>228</v>
      </c>
      <c r="D210" s="5">
        <v>46699</v>
      </c>
      <c r="E210" s="5">
        <v>46705</v>
      </c>
      <c r="F210" s="5">
        <v>46698</v>
      </c>
      <c r="G210" s="5">
        <v>46705</v>
      </c>
      <c r="H210">
        <v>7</v>
      </c>
    </row>
    <row r="211" spans="1:12" x14ac:dyDescent="0.35">
      <c r="A211" t="s">
        <v>123</v>
      </c>
      <c r="B211" t="s">
        <v>13</v>
      </c>
      <c r="C211" t="s">
        <v>229</v>
      </c>
      <c r="D211" s="5">
        <v>46706</v>
      </c>
      <c r="E211" s="5">
        <v>46712</v>
      </c>
      <c r="F211" s="5">
        <v>46698</v>
      </c>
      <c r="G211" s="5">
        <v>46705</v>
      </c>
      <c r="H211">
        <v>8</v>
      </c>
    </row>
    <row r="212" spans="1:12" x14ac:dyDescent="0.35">
      <c r="A212" t="s">
        <v>123</v>
      </c>
      <c r="B212" t="s">
        <v>14</v>
      </c>
      <c r="C212" t="s">
        <v>230</v>
      </c>
      <c r="D212" s="5">
        <v>46713</v>
      </c>
      <c r="E212" s="5">
        <v>46719</v>
      </c>
      <c r="F212" s="5">
        <v>46712</v>
      </c>
      <c r="G212" s="5">
        <v>46719</v>
      </c>
      <c r="H212">
        <v>9</v>
      </c>
    </row>
    <row r="213" spans="1:12" x14ac:dyDescent="0.35">
      <c r="A213" t="s">
        <v>123</v>
      </c>
      <c r="B213" t="s">
        <v>15</v>
      </c>
      <c r="C213" t="s">
        <v>231</v>
      </c>
      <c r="D213" s="5">
        <v>46720</v>
      </c>
      <c r="E213" s="5">
        <v>46726</v>
      </c>
      <c r="F213" s="5">
        <v>46712</v>
      </c>
      <c r="G213" s="5">
        <v>46719</v>
      </c>
      <c r="H213">
        <v>10</v>
      </c>
    </row>
    <row r="214" spans="1:12" x14ac:dyDescent="0.35">
      <c r="A214" t="s">
        <v>123</v>
      </c>
      <c r="B214" t="s">
        <v>16</v>
      </c>
      <c r="C214" t="s">
        <v>232</v>
      </c>
      <c r="D214" s="5">
        <v>46727</v>
      </c>
      <c r="E214" s="5">
        <v>46733</v>
      </c>
      <c r="F214" s="5">
        <v>46726</v>
      </c>
      <c r="G214" s="5">
        <v>46733</v>
      </c>
      <c r="H214">
        <v>11</v>
      </c>
    </row>
    <row r="215" spans="1:12" x14ac:dyDescent="0.35">
      <c r="A215" t="s">
        <v>123</v>
      </c>
      <c r="B215" t="s">
        <v>17</v>
      </c>
      <c r="C215" t="s">
        <v>233</v>
      </c>
      <c r="D215" s="5">
        <v>46734</v>
      </c>
      <c r="E215" s="5">
        <v>46740</v>
      </c>
      <c r="F215" s="5">
        <v>46726</v>
      </c>
      <c r="G215" s="5">
        <v>46733</v>
      </c>
      <c r="H215">
        <v>12</v>
      </c>
    </row>
    <row r="216" spans="1:12" x14ac:dyDescent="0.35">
      <c r="A216" t="s">
        <v>123</v>
      </c>
      <c r="B216" t="s">
        <v>18</v>
      </c>
      <c r="C216" t="s">
        <v>234</v>
      </c>
      <c r="D216" s="5">
        <v>46741</v>
      </c>
      <c r="E216" s="5">
        <v>46747</v>
      </c>
      <c r="F216" s="5">
        <v>46747</v>
      </c>
      <c r="G216" s="5">
        <v>46747</v>
      </c>
      <c r="H216">
        <v>13</v>
      </c>
    </row>
    <row r="217" spans="1:12" x14ac:dyDescent="0.35">
      <c r="A217" t="s">
        <v>1467</v>
      </c>
      <c r="B217" t="s">
        <v>6</v>
      </c>
      <c r="C217" t="s">
        <v>1483</v>
      </c>
      <c r="D217" s="5">
        <v>46748</v>
      </c>
      <c r="E217" s="5">
        <v>46754</v>
      </c>
      <c r="F217" s="5">
        <v>46747</v>
      </c>
      <c r="G217" s="5">
        <v>46754</v>
      </c>
    </row>
    <row r="218" spans="1:12" x14ac:dyDescent="0.35">
      <c r="A218" t="s">
        <v>1467</v>
      </c>
      <c r="B218" t="s">
        <v>7</v>
      </c>
      <c r="C218" t="s">
        <v>1484</v>
      </c>
      <c r="D218" s="5">
        <v>46755</v>
      </c>
      <c r="E218" s="5">
        <v>46761</v>
      </c>
      <c r="F218" s="5">
        <v>46747</v>
      </c>
      <c r="G218" s="5">
        <v>46754</v>
      </c>
    </row>
    <row r="219" spans="1:12" x14ac:dyDescent="0.35">
      <c r="A219" t="s">
        <v>1467</v>
      </c>
      <c r="B219" t="s">
        <v>8</v>
      </c>
      <c r="C219" t="s">
        <v>1485</v>
      </c>
      <c r="D219" s="5">
        <v>46762</v>
      </c>
      <c r="E219" s="5">
        <v>46768</v>
      </c>
      <c r="F219" s="5">
        <v>46761</v>
      </c>
      <c r="G219" s="5">
        <v>46768</v>
      </c>
    </row>
    <row r="220" spans="1:12" x14ac:dyDescent="0.35">
      <c r="A220" t="s">
        <v>1467</v>
      </c>
      <c r="B220" t="s">
        <v>9</v>
      </c>
      <c r="C220" t="s">
        <v>1486</v>
      </c>
      <c r="D220" s="5">
        <v>46769</v>
      </c>
      <c r="E220" s="5">
        <v>46775</v>
      </c>
      <c r="F220" s="5">
        <v>46761</v>
      </c>
      <c r="G220" s="5">
        <v>46768</v>
      </c>
    </row>
    <row r="221" spans="1:12" x14ac:dyDescent="0.35">
      <c r="A221" t="s">
        <v>1467</v>
      </c>
      <c r="B221" t="s">
        <v>10</v>
      </c>
      <c r="C221" t="s">
        <v>1487</v>
      </c>
      <c r="D221" s="5">
        <v>46776</v>
      </c>
      <c r="E221" s="5">
        <v>46782</v>
      </c>
      <c r="F221" s="5">
        <v>46775</v>
      </c>
      <c r="G221" s="5">
        <v>46782</v>
      </c>
      <c r="J221" s="6"/>
      <c r="K221" s="6"/>
      <c r="L221" s="6"/>
    </row>
    <row r="222" spans="1:12" x14ac:dyDescent="0.35">
      <c r="A222" t="s">
        <v>1467</v>
      </c>
      <c r="B222" t="s">
        <v>11</v>
      </c>
      <c r="C222" t="s">
        <v>1488</v>
      </c>
      <c r="D222" s="5">
        <v>46783</v>
      </c>
      <c r="E222" s="5">
        <v>46789</v>
      </c>
      <c r="F222" s="5">
        <v>46775</v>
      </c>
      <c r="G222" s="5">
        <v>46782</v>
      </c>
      <c r="J222" s="4"/>
      <c r="K222" s="5"/>
      <c r="L222" s="5"/>
    </row>
    <row r="223" spans="1:12" x14ac:dyDescent="0.35">
      <c r="A223" t="s">
        <v>1467</v>
      </c>
      <c r="B223" t="s">
        <v>12</v>
      </c>
      <c r="C223" t="s">
        <v>1489</v>
      </c>
      <c r="D223" s="5">
        <v>46790</v>
      </c>
      <c r="E223" s="5">
        <v>46796</v>
      </c>
      <c r="F223" s="5">
        <v>46789</v>
      </c>
      <c r="G223" s="5">
        <v>46796</v>
      </c>
      <c r="J223" s="4"/>
      <c r="K223" s="5"/>
      <c r="L223" s="5"/>
    </row>
    <row r="224" spans="1:12" x14ac:dyDescent="0.35">
      <c r="A224" t="s">
        <v>1467</v>
      </c>
      <c r="B224" t="s">
        <v>13</v>
      </c>
      <c r="C224" t="s">
        <v>1490</v>
      </c>
      <c r="D224" s="5">
        <v>46797</v>
      </c>
      <c r="E224" s="5">
        <v>46803</v>
      </c>
      <c r="F224" s="5">
        <v>46789</v>
      </c>
      <c r="G224" s="5">
        <v>46796</v>
      </c>
      <c r="J224" s="4"/>
      <c r="K224" s="5"/>
      <c r="L224" s="5"/>
    </row>
    <row r="225" spans="1:7" x14ac:dyDescent="0.35">
      <c r="A225" t="s">
        <v>1467</v>
      </c>
      <c r="B225" t="s">
        <v>14</v>
      </c>
      <c r="C225" t="s">
        <v>1491</v>
      </c>
      <c r="D225" s="5">
        <v>46804</v>
      </c>
      <c r="E225" s="5">
        <v>46810</v>
      </c>
      <c r="F225" s="5">
        <v>46803</v>
      </c>
      <c r="G225" s="5">
        <v>46810</v>
      </c>
    </row>
    <row r="226" spans="1:7" x14ac:dyDescent="0.35">
      <c r="A226" t="s">
        <v>1467</v>
      </c>
      <c r="B226" t="s">
        <v>15</v>
      </c>
      <c r="C226" t="s">
        <v>1492</v>
      </c>
      <c r="D226" s="5">
        <v>46811</v>
      </c>
      <c r="E226" s="5">
        <v>46817</v>
      </c>
      <c r="F226" s="5">
        <v>46803</v>
      </c>
      <c r="G226" s="5">
        <v>46810</v>
      </c>
    </row>
    <row r="227" spans="1:7" x14ac:dyDescent="0.35">
      <c r="A227" t="s">
        <v>1467</v>
      </c>
      <c r="B227" t="s">
        <v>16</v>
      </c>
      <c r="C227" t="s">
        <v>1493</v>
      </c>
      <c r="D227" s="5">
        <v>46818</v>
      </c>
      <c r="E227" s="5">
        <v>46824</v>
      </c>
      <c r="F227" s="5">
        <v>46817</v>
      </c>
      <c r="G227" s="5">
        <v>46824</v>
      </c>
    </row>
    <row r="228" spans="1:7" x14ac:dyDescent="0.35">
      <c r="A228" t="s">
        <v>1467</v>
      </c>
      <c r="B228" t="s">
        <v>17</v>
      </c>
      <c r="C228" t="s">
        <v>1494</v>
      </c>
      <c r="D228" s="5">
        <v>46825</v>
      </c>
      <c r="E228" s="5">
        <v>46831</v>
      </c>
      <c r="F228" s="5">
        <v>46817</v>
      </c>
      <c r="G228" s="5">
        <v>46824</v>
      </c>
    </row>
    <row r="229" spans="1:7" x14ac:dyDescent="0.35">
      <c r="A229" t="s">
        <v>1467</v>
      </c>
      <c r="B229" t="s">
        <v>18</v>
      </c>
      <c r="C229" t="s">
        <v>1495</v>
      </c>
      <c r="D229" s="5">
        <v>46832</v>
      </c>
      <c r="E229" s="5">
        <v>46838</v>
      </c>
      <c r="F229" s="5">
        <v>46838</v>
      </c>
      <c r="G229" s="5">
        <v>46838</v>
      </c>
    </row>
    <row r="230" spans="1:7" x14ac:dyDescent="0.35">
      <c r="A230" t="s">
        <v>1474</v>
      </c>
      <c r="B230" t="s">
        <v>6</v>
      </c>
      <c r="C230" t="s">
        <v>1496</v>
      </c>
      <c r="D230" s="5">
        <v>46839</v>
      </c>
      <c r="E230" s="5">
        <v>46845</v>
      </c>
      <c r="F230" s="5">
        <v>46838</v>
      </c>
      <c r="G230" s="5">
        <v>46845</v>
      </c>
    </row>
    <row r="231" spans="1:7" x14ac:dyDescent="0.35">
      <c r="A231" t="s">
        <v>1474</v>
      </c>
      <c r="B231" t="s">
        <v>7</v>
      </c>
      <c r="C231" t="s">
        <v>1497</v>
      </c>
      <c r="D231" s="5">
        <v>46846</v>
      </c>
      <c r="E231" s="5">
        <v>46852</v>
      </c>
      <c r="F231" s="5">
        <v>46838</v>
      </c>
      <c r="G231" s="5">
        <v>46845</v>
      </c>
    </row>
    <row r="232" spans="1:7" x14ac:dyDescent="0.35">
      <c r="A232" t="s">
        <v>1474</v>
      </c>
      <c r="B232" t="s">
        <v>8</v>
      </c>
      <c r="C232" t="s">
        <v>1498</v>
      </c>
      <c r="D232" s="5">
        <v>46853</v>
      </c>
      <c r="E232" s="5">
        <v>46859</v>
      </c>
      <c r="F232" s="5">
        <v>46852</v>
      </c>
      <c r="G232" s="5">
        <v>46859</v>
      </c>
    </row>
    <row r="233" spans="1:7" x14ac:dyDescent="0.35">
      <c r="A233" t="s">
        <v>1474</v>
      </c>
      <c r="B233" t="s">
        <v>9</v>
      </c>
      <c r="C233" t="s">
        <v>1499</v>
      </c>
      <c r="D233" s="5">
        <v>46860</v>
      </c>
      <c r="E233" s="5">
        <v>46866</v>
      </c>
      <c r="F233" s="5">
        <v>46852</v>
      </c>
      <c r="G233" s="5">
        <v>46859</v>
      </c>
    </row>
    <row r="234" spans="1:7" x14ac:dyDescent="0.35">
      <c r="A234" t="s">
        <v>1474</v>
      </c>
      <c r="B234" t="s">
        <v>10</v>
      </c>
      <c r="C234" t="s">
        <v>1500</v>
      </c>
      <c r="D234" s="5">
        <v>46867</v>
      </c>
      <c r="E234" s="5">
        <v>46873</v>
      </c>
      <c r="F234" s="5">
        <v>46866</v>
      </c>
      <c r="G234" s="5">
        <v>46873</v>
      </c>
    </row>
    <row r="235" spans="1:7" x14ac:dyDescent="0.35">
      <c r="A235" t="s">
        <v>1474</v>
      </c>
      <c r="B235" t="s">
        <v>11</v>
      </c>
      <c r="C235" t="s">
        <v>1501</v>
      </c>
      <c r="D235" s="5">
        <v>46874</v>
      </c>
      <c r="E235" s="5">
        <v>46880</v>
      </c>
      <c r="F235" s="5">
        <v>46866</v>
      </c>
      <c r="G235" s="5">
        <v>46873</v>
      </c>
    </row>
    <row r="236" spans="1:7" x14ac:dyDescent="0.35">
      <c r="A236" t="s">
        <v>1474</v>
      </c>
      <c r="B236" t="s">
        <v>12</v>
      </c>
      <c r="C236" t="s">
        <v>1502</v>
      </c>
      <c r="D236" s="5">
        <v>46881</v>
      </c>
      <c r="E236" s="5">
        <v>46887</v>
      </c>
      <c r="F236" s="5">
        <v>46880</v>
      </c>
      <c r="G236" s="5">
        <v>46887</v>
      </c>
    </row>
    <row r="237" spans="1:7" x14ac:dyDescent="0.35">
      <c r="A237" t="s">
        <v>1474</v>
      </c>
      <c r="B237" t="s">
        <v>13</v>
      </c>
      <c r="C237" t="s">
        <v>1503</v>
      </c>
      <c r="D237" s="5">
        <v>46888</v>
      </c>
      <c r="E237" s="5">
        <v>46894</v>
      </c>
      <c r="F237" s="5">
        <v>46880</v>
      </c>
      <c r="G237" s="5">
        <v>46887</v>
      </c>
    </row>
    <row r="238" spans="1:7" x14ac:dyDescent="0.35">
      <c r="A238" t="s">
        <v>1474</v>
      </c>
      <c r="B238" t="s">
        <v>14</v>
      </c>
      <c r="C238" t="s">
        <v>1504</v>
      </c>
      <c r="D238" s="5">
        <v>46895</v>
      </c>
      <c r="E238" s="5">
        <v>46901</v>
      </c>
      <c r="F238" s="5">
        <v>46894</v>
      </c>
      <c r="G238" s="5">
        <v>46901</v>
      </c>
    </row>
    <row r="239" spans="1:7" x14ac:dyDescent="0.35">
      <c r="A239" t="s">
        <v>1474</v>
      </c>
      <c r="B239" t="s">
        <v>15</v>
      </c>
      <c r="C239" t="s">
        <v>1505</v>
      </c>
      <c r="D239" s="5">
        <v>46902</v>
      </c>
      <c r="E239" s="5">
        <v>46908</v>
      </c>
      <c r="F239" s="5">
        <v>46894</v>
      </c>
      <c r="G239" s="5">
        <v>46901</v>
      </c>
    </row>
    <row r="240" spans="1:7" x14ac:dyDescent="0.35">
      <c r="A240" t="s">
        <v>1474</v>
      </c>
      <c r="B240" t="s">
        <v>16</v>
      </c>
      <c r="C240" t="s">
        <v>1506</v>
      </c>
      <c r="D240" s="5">
        <v>46909</v>
      </c>
      <c r="E240" s="5">
        <v>46915</v>
      </c>
      <c r="F240" s="5">
        <v>46908</v>
      </c>
      <c r="G240" s="5">
        <v>46915</v>
      </c>
    </row>
    <row r="241" spans="1:7" x14ac:dyDescent="0.35">
      <c r="A241" t="s">
        <v>1474</v>
      </c>
      <c r="B241" t="s">
        <v>17</v>
      </c>
      <c r="C241" t="s">
        <v>1507</v>
      </c>
      <c r="D241" s="5">
        <v>46916</v>
      </c>
      <c r="E241" s="5">
        <v>46922</v>
      </c>
      <c r="F241" s="5">
        <v>46908</v>
      </c>
      <c r="G241" s="5">
        <v>46915</v>
      </c>
    </row>
    <row r="242" spans="1:7" x14ac:dyDescent="0.35">
      <c r="A242" t="s">
        <v>1474</v>
      </c>
      <c r="B242" t="s">
        <v>18</v>
      </c>
      <c r="C242" t="s">
        <v>1508</v>
      </c>
      <c r="D242" s="5">
        <v>46923</v>
      </c>
      <c r="E242" s="5">
        <v>46929</v>
      </c>
      <c r="F242" s="5">
        <v>46929</v>
      </c>
      <c r="G242" s="5">
        <v>46929</v>
      </c>
    </row>
    <row r="243" spans="1:7" x14ac:dyDescent="0.35">
      <c r="A243" t="s">
        <v>1477</v>
      </c>
      <c r="B243" t="s">
        <v>6</v>
      </c>
      <c r="C243" t="s">
        <v>1509</v>
      </c>
      <c r="D243" s="5">
        <v>46930</v>
      </c>
      <c r="E243" s="5">
        <v>46936</v>
      </c>
      <c r="F243" s="5">
        <v>46929</v>
      </c>
      <c r="G243" s="5">
        <v>46936</v>
      </c>
    </row>
    <row r="244" spans="1:7" x14ac:dyDescent="0.35">
      <c r="A244" t="s">
        <v>1477</v>
      </c>
      <c r="B244" t="s">
        <v>7</v>
      </c>
      <c r="C244" t="s">
        <v>1510</v>
      </c>
      <c r="D244" s="5">
        <v>46937</v>
      </c>
      <c r="E244" s="5">
        <v>46943</v>
      </c>
      <c r="F244" s="5">
        <v>46929</v>
      </c>
      <c r="G244" s="5">
        <v>46936</v>
      </c>
    </row>
    <row r="245" spans="1:7" x14ac:dyDescent="0.35">
      <c r="A245" t="s">
        <v>1477</v>
      </c>
      <c r="B245" t="s">
        <v>8</v>
      </c>
      <c r="C245" t="s">
        <v>1511</v>
      </c>
      <c r="D245" s="5">
        <v>46944</v>
      </c>
      <c r="E245" s="5">
        <v>46950</v>
      </c>
      <c r="F245" s="5">
        <v>46943</v>
      </c>
      <c r="G245" s="5">
        <v>46950</v>
      </c>
    </row>
    <row r="246" spans="1:7" x14ac:dyDescent="0.35">
      <c r="A246" t="s">
        <v>1477</v>
      </c>
      <c r="B246" t="s">
        <v>9</v>
      </c>
      <c r="C246" t="s">
        <v>1512</v>
      </c>
      <c r="D246" s="5">
        <v>46951</v>
      </c>
      <c r="E246" s="5">
        <v>46957</v>
      </c>
      <c r="F246" s="5">
        <v>46943</v>
      </c>
      <c r="G246" s="5">
        <v>46950</v>
      </c>
    </row>
    <row r="247" spans="1:7" x14ac:dyDescent="0.35">
      <c r="A247" t="s">
        <v>1477</v>
      </c>
      <c r="B247" t="s">
        <v>10</v>
      </c>
      <c r="C247" t="s">
        <v>1513</v>
      </c>
      <c r="D247" s="5">
        <v>46958</v>
      </c>
      <c r="E247" s="5">
        <v>46964</v>
      </c>
      <c r="F247" s="5">
        <v>46957</v>
      </c>
      <c r="G247" s="5">
        <v>46964</v>
      </c>
    </row>
    <row r="248" spans="1:7" x14ac:dyDescent="0.35">
      <c r="A248" t="s">
        <v>1477</v>
      </c>
      <c r="B248" t="s">
        <v>11</v>
      </c>
      <c r="C248" t="s">
        <v>1514</v>
      </c>
      <c r="D248" s="5">
        <v>46965</v>
      </c>
      <c r="E248" s="5">
        <v>46971</v>
      </c>
      <c r="F248" s="5">
        <v>46957</v>
      </c>
      <c r="G248" s="5">
        <v>46964</v>
      </c>
    </row>
    <row r="249" spans="1:7" x14ac:dyDescent="0.35">
      <c r="A249" t="s">
        <v>1477</v>
      </c>
      <c r="B249" t="s">
        <v>12</v>
      </c>
      <c r="C249" t="s">
        <v>1515</v>
      </c>
      <c r="D249" s="5">
        <v>46972</v>
      </c>
      <c r="E249" s="5">
        <v>46978</v>
      </c>
      <c r="F249" s="5">
        <v>46971</v>
      </c>
      <c r="G249" s="5">
        <v>46978</v>
      </c>
    </row>
    <row r="250" spans="1:7" x14ac:dyDescent="0.35">
      <c r="A250" t="s">
        <v>1477</v>
      </c>
      <c r="B250" t="s">
        <v>13</v>
      </c>
      <c r="C250" t="s">
        <v>1516</v>
      </c>
      <c r="D250" s="5">
        <v>46979</v>
      </c>
      <c r="E250" s="5">
        <v>46985</v>
      </c>
      <c r="F250" s="5">
        <v>46971</v>
      </c>
      <c r="G250" s="5">
        <v>46978</v>
      </c>
    </row>
    <row r="251" spans="1:7" x14ac:dyDescent="0.35">
      <c r="A251" t="s">
        <v>1477</v>
      </c>
      <c r="B251" t="s">
        <v>14</v>
      </c>
      <c r="C251" t="s">
        <v>1517</v>
      </c>
      <c r="D251" s="5">
        <v>46986</v>
      </c>
      <c r="E251" s="5">
        <v>46992</v>
      </c>
      <c r="F251" s="5">
        <v>46985</v>
      </c>
      <c r="G251" s="5">
        <v>46992</v>
      </c>
    </row>
    <row r="252" spans="1:7" x14ac:dyDescent="0.35">
      <c r="A252" t="s">
        <v>1477</v>
      </c>
      <c r="B252" t="s">
        <v>15</v>
      </c>
      <c r="C252" t="s">
        <v>1518</v>
      </c>
      <c r="D252" s="5">
        <v>46993</v>
      </c>
      <c r="E252" s="5">
        <v>46999</v>
      </c>
      <c r="F252" s="5">
        <v>46985</v>
      </c>
      <c r="G252" s="5">
        <v>46992</v>
      </c>
    </row>
    <row r="253" spans="1:7" x14ac:dyDescent="0.35">
      <c r="A253" t="s">
        <v>1477</v>
      </c>
      <c r="B253" t="s">
        <v>16</v>
      </c>
      <c r="C253" t="s">
        <v>1519</v>
      </c>
      <c r="D253" s="5">
        <v>47000</v>
      </c>
      <c r="E253" s="5">
        <v>47006</v>
      </c>
      <c r="F253" s="5">
        <v>46999</v>
      </c>
      <c r="G253" s="5">
        <v>47006</v>
      </c>
    </row>
    <row r="254" spans="1:7" x14ac:dyDescent="0.35">
      <c r="A254" t="s">
        <v>1477</v>
      </c>
      <c r="B254" t="s">
        <v>17</v>
      </c>
      <c r="C254" t="s">
        <v>1520</v>
      </c>
      <c r="D254" s="5">
        <v>47007</v>
      </c>
      <c r="E254" s="5">
        <v>47013</v>
      </c>
      <c r="F254" s="5">
        <v>46999</v>
      </c>
      <c r="G254" s="5">
        <v>47006</v>
      </c>
    </row>
    <row r="255" spans="1:7" x14ac:dyDescent="0.35">
      <c r="A255" t="s">
        <v>1477</v>
      </c>
      <c r="B255" t="s">
        <v>18</v>
      </c>
      <c r="C255" t="s">
        <v>1521</v>
      </c>
      <c r="D255" s="5">
        <v>47014</v>
      </c>
      <c r="E255" s="5">
        <v>47020</v>
      </c>
      <c r="F255" s="5">
        <v>47020</v>
      </c>
      <c r="G255" s="5">
        <v>47020</v>
      </c>
    </row>
    <row r="256" spans="1:7" x14ac:dyDescent="0.35">
      <c r="A256" t="s">
        <v>1480</v>
      </c>
      <c r="B256" t="s">
        <v>6</v>
      </c>
      <c r="C256" t="s">
        <v>1522</v>
      </c>
      <c r="D256" s="5">
        <v>47021</v>
      </c>
      <c r="E256" s="5">
        <v>47027</v>
      </c>
      <c r="F256" s="5">
        <v>47020</v>
      </c>
      <c r="G256" s="5">
        <v>47027</v>
      </c>
    </row>
    <row r="257" spans="1:7" x14ac:dyDescent="0.35">
      <c r="A257" t="s">
        <v>1480</v>
      </c>
      <c r="B257" t="s">
        <v>7</v>
      </c>
      <c r="C257" t="s">
        <v>1523</v>
      </c>
      <c r="D257" s="5">
        <v>47028</v>
      </c>
      <c r="E257" s="5">
        <v>47034</v>
      </c>
      <c r="F257" s="5">
        <v>47020</v>
      </c>
      <c r="G257" s="5">
        <v>47027</v>
      </c>
    </row>
    <row r="258" spans="1:7" x14ac:dyDescent="0.35">
      <c r="A258" t="s">
        <v>1480</v>
      </c>
      <c r="B258" t="s">
        <v>8</v>
      </c>
      <c r="C258" t="s">
        <v>1524</v>
      </c>
      <c r="D258" s="5">
        <v>47035</v>
      </c>
      <c r="E258" s="5">
        <v>47041</v>
      </c>
      <c r="F258" s="5">
        <v>47034</v>
      </c>
      <c r="G258" s="5">
        <v>47041</v>
      </c>
    </row>
    <row r="259" spans="1:7" x14ac:dyDescent="0.35">
      <c r="A259" t="s">
        <v>1480</v>
      </c>
      <c r="B259" t="s">
        <v>9</v>
      </c>
      <c r="C259" t="s">
        <v>1525</v>
      </c>
      <c r="D259" s="5">
        <v>47042</v>
      </c>
      <c r="E259" s="5">
        <v>47048</v>
      </c>
      <c r="F259" s="5">
        <v>47034</v>
      </c>
      <c r="G259" s="5">
        <v>47041</v>
      </c>
    </row>
    <row r="260" spans="1:7" x14ac:dyDescent="0.35">
      <c r="A260" t="s">
        <v>1480</v>
      </c>
      <c r="B260" t="s">
        <v>10</v>
      </c>
      <c r="C260" t="s">
        <v>1526</v>
      </c>
      <c r="D260" s="5">
        <v>47049</v>
      </c>
      <c r="E260" s="5">
        <v>47055</v>
      </c>
      <c r="F260" s="5">
        <v>47048</v>
      </c>
      <c r="G260" s="5">
        <v>47055</v>
      </c>
    </row>
    <row r="261" spans="1:7" x14ac:dyDescent="0.35">
      <c r="A261" t="s">
        <v>1480</v>
      </c>
      <c r="B261" t="s">
        <v>11</v>
      </c>
      <c r="C261" t="s">
        <v>1527</v>
      </c>
      <c r="D261" s="5">
        <v>47056</v>
      </c>
      <c r="E261" s="5">
        <v>47062</v>
      </c>
      <c r="F261" s="5">
        <v>47048</v>
      </c>
      <c r="G261" s="5">
        <v>47055</v>
      </c>
    </row>
    <row r="262" spans="1:7" x14ac:dyDescent="0.35">
      <c r="A262" t="s">
        <v>1480</v>
      </c>
      <c r="B262" t="s">
        <v>12</v>
      </c>
      <c r="C262" t="s">
        <v>1528</v>
      </c>
      <c r="D262" s="5">
        <v>47063</v>
      </c>
      <c r="E262" s="5">
        <v>47069</v>
      </c>
      <c r="F262" s="5">
        <v>47062</v>
      </c>
      <c r="G262" s="5">
        <v>47069</v>
      </c>
    </row>
    <row r="263" spans="1:7" x14ac:dyDescent="0.35">
      <c r="A263" t="s">
        <v>1480</v>
      </c>
      <c r="B263" t="s">
        <v>13</v>
      </c>
      <c r="C263" t="s">
        <v>1529</v>
      </c>
      <c r="D263" s="5">
        <v>47070</v>
      </c>
      <c r="E263" s="5">
        <v>47076</v>
      </c>
      <c r="F263" s="5">
        <v>47062</v>
      </c>
      <c r="G263" s="5">
        <v>47069</v>
      </c>
    </row>
    <row r="264" spans="1:7" x14ac:dyDescent="0.35">
      <c r="A264" t="s">
        <v>1480</v>
      </c>
      <c r="B264" t="s">
        <v>14</v>
      </c>
      <c r="C264" t="s">
        <v>1530</v>
      </c>
      <c r="D264" s="5">
        <v>47077</v>
      </c>
      <c r="E264" s="5">
        <v>47083</v>
      </c>
      <c r="F264" s="5">
        <v>47076</v>
      </c>
      <c r="G264" s="5">
        <v>47083</v>
      </c>
    </row>
    <row r="265" spans="1:7" x14ac:dyDescent="0.35">
      <c r="A265" t="s">
        <v>1480</v>
      </c>
      <c r="B265" t="s">
        <v>15</v>
      </c>
      <c r="C265" t="s">
        <v>1531</v>
      </c>
      <c r="D265" s="5">
        <v>47084</v>
      </c>
      <c r="E265" s="5">
        <v>47090</v>
      </c>
      <c r="F265" s="5">
        <v>47076</v>
      </c>
      <c r="G265" s="5">
        <v>47083</v>
      </c>
    </row>
    <row r="266" spans="1:7" x14ac:dyDescent="0.35">
      <c r="A266" t="s">
        <v>1480</v>
      </c>
      <c r="B266" t="s">
        <v>16</v>
      </c>
      <c r="C266" t="s">
        <v>1532</v>
      </c>
      <c r="D266" s="5">
        <v>47091</v>
      </c>
      <c r="E266" s="5">
        <v>47097</v>
      </c>
      <c r="F266" s="5">
        <v>47090</v>
      </c>
      <c r="G266" s="5">
        <v>47097</v>
      </c>
    </row>
    <row r="267" spans="1:7" x14ac:dyDescent="0.35">
      <c r="A267" t="s">
        <v>1480</v>
      </c>
      <c r="B267" t="s">
        <v>17</v>
      </c>
      <c r="C267" t="s">
        <v>1533</v>
      </c>
      <c r="D267" s="5">
        <v>47098</v>
      </c>
      <c r="E267" s="5">
        <v>47104</v>
      </c>
      <c r="F267" s="5">
        <v>47090</v>
      </c>
      <c r="G267" s="5">
        <v>47097</v>
      </c>
    </row>
    <row r="268" spans="1:7" x14ac:dyDescent="0.35">
      <c r="A268" t="s">
        <v>1480</v>
      </c>
      <c r="B268" t="s">
        <v>18</v>
      </c>
      <c r="C268" t="s">
        <v>1534</v>
      </c>
      <c r="D268" s="5">
        <v>47105</v>
      </c>
      <c r="E268" s="5">
        <v>47111</v>
      </c>
      <c r="F268" s="5">
        <v>47111</v>
      </c>
      <c r="G268" s="5">
        <v>47111</v>
      </c>
    </row>
    <row r="269" spans="1:7" x14ac:dyDescent="0.35">
      <c r="A269" t="s">
        <v>1468</v>
      </c>
      <c r="B269" t="s">
        <v>6</v>
      </c>
      <c r="C269" t="s">
        <v>1535</v>
      </c>
      <c r="D269" s="5">
        <v>47112</v>
      </c>
      <c r="E269" s="5">
        <v>47118</v>
      </c>
      <c r="F269" s="5">
        <v>47111</v>
      </c>
      <c r="G269" s="5">
        <v>47118</v>
      </c>
    </row>
    <row r="270" spans="1:7" x14ac:dyDescent="0.35">
      <c r="A270" t="s">
        <v>1468</v>
      </c>
      <c r="B270" t="s">
        <v>7</v>
      </c>
      <c r="C270" t="s">
        <v>1536</v>
      </c>
      <c r="D270" s="5">
        <v>47119</v>
      </c>
      <c r="E270" s="5">
        <v>47125</v>
      </c>
      <c r="F270" s="5">
        <v>47111</v>
      </c>
      <c r="G270" s="5">
        <v>47118</v>
      </c>
    </row>
    <row r="271" spans="1:7" x14ac:dyDescent="0.35">
      <c r="A271" t="s">
        <v>1468</v>
      </c>
      <c r="B271" t="s">
        <v>8</v>
      </c>
      <c r="C271" t="s">
        <v>1537</v>
      </c>
      <c r="D271" s="5">
        <v>47126</v>
      </c>
      <c r="E271" s="5">
        <v>47132</v>
      </c>
      <c r="F271" s="5">
        <v>47125</v>
      </c>
      <c r="G271" s="5">
        <v>47132</v>
      </c>
    </row>
    <row r="272" spans="1:7" x14ac:dyDescent="0.35">
      <c r="A272" t="s">
        <v>1468</v>
      </c>
      <c r="B272" t="s">
        <v>9</v>
      </c>
      <c r="C272" t="s">
        <v>1538</v>
      </c>
      <c r="D272" s="5">
        <v>47133</v>
      </c>
      <c r="E272" s="5">
        <v>47139</v>
      </c>
      <c r="F272" s="5">
        <v>47125</v>
      </c>
      <c r="G272" s="5">
        <v>47132</v>
      </c>
    </row>
    <row r="273" spans="1:7" x14ac:dyDescent="0.35">
      <c r="A273" t="s">
        <v>1468</v>
      </c>
      <c r="B273" t="s">
        <v>10</v>
      </c>
      <c r="C273" t="s">
        <v>1539</v>
      </c>
      <c r="D273" s="5">
        <v>47140</v>
      </c>
      <c r="E273" s="5">
        <v>47146</v>
      </c>
      <c r="F273" s="5">
        <v>47139</v>
      </c>
      <c r="G273" s="5">
        <v>47146</v>
      </c>
    </row>
    <row r="274" spans="1:7" x14ac:dyDescent="0.35">
      <c r="A274" t="s">
        <v>1468</v>
      </c>
      <c r="B274" t="s">
        <v>11</v>
      </c>
      <c r="C274" t="s">
        <v>1540</v>
      </c>
      <c r="D274" s="5">
        <v>47147</v>
      </c>
      <c r="E274" s="5">
        <v>47153</v>
      </c>
      <c r="F274" s="5">
        <v>47139</v>
      </c>
      <c r="G274" s="5">
        <v>47146</v>
      </c>
    </row>
    <row r="275" spans="1:7" x14ac:dyDescent="0.35">
      <c r="A275" t="s">
        <v>1468</v>
      </c>
      <c r="B275" t="s">
        <v>12</v>
      </c>
      <c r="C275" t="s">
        <v>1541</v>
      </c>
      <c r="D275" s="5">
        <v>47154</v>
      </c>
      <c r="E275" s="5">
        <v>47160</v>
      </c>
      <c r="F275" s="5">
        <v>47153</v>
      </c>
      <c r="G275" s="5">
        <v>47160</v>
      </c>
    </row>
    <row r="276" spans="1:7" x14ac:dyDescent="0.35">
      <c r="A276" t="s">
        <v>1468</v>
      </c>
      <c r="B276" t="s">
        <v>13</v>
      </c>
      <c r="C276" t="s">
        <v>1542</v>
      </c>
      <c r="D276" s="5">
        <v>47161</v>
      </c>
      <c r="E276" s="5">
        <v>47167</v>
      </c>
      <c r="F276" s="5">
        <v>47153</v>
      </c>
      <c r="G276" s="5">
        <v>47160</v>
      </c>
    </row>
    <row r="277" spans="1:7" x14ac:dyDescent="0.35">
      <c r="A277" t="s">
        <v>1468</v>
      </c>
      <c r="B277" t="s">
        <v>14</v>
      </c>
      <c r="C277" t="s">
        <v>1543</v>
      </c>
      <c r="D277" s="5">
        <v>47168</v>
      </c>
      <c r="E277" s="5">
        <v>47174</v>
      </c>
      <c r="F277" s="5">
        <v>47167</v>
      </c>
      <c r="G277" s="5">
        <v>47174</v>
      </c>
    </row>
    <row r="278" spans="1:7" x14ac:dyDescent="0.35">
      <c r="A278" t="s">
        <v>1468</v>
      </c>
      <c r="B278" t="s">
        <v>15</v>
      </c>
      <c r="C278" t="s">
        <v>1544</v>
      </c>
      <c r="D278" s="5">
        <v>47175</v>
      </c>
      <c r="E278" s="5">
        <v>47181</v>
      </c>
      <c r="F278" s="5">
        <v>47167</v>
      </c>
      <c r="G278" s="5">
        <v>47174</v>
      </c>
    </row>
    <row r="279" spans="1:7" x14ac:dyDescent="0.35">
      <c r="A279" t="s">
        <v>1468</v>
      </c>
      <c r="B279" t="s">
        <v>16</v>
      </c>
      <c r="C279" t="s">
        <v>1545</v>
      </c>
      <c r="D279" s="5">
        <v>47182</v>
      </c>
      <c r="E279" s="5">
        <v>47188</v>
      </c>
      <c r="F279" s="5">
        <v>47181</v>
      </c>
      <c r="G279" s="5">
        <v>47188</v>
      </c>
    </row>
    <row r="280" spans="1:7" x14ac:dyDescent="0.35">
      <c r="A280" t="s">
        <v>1468</v>
      </c>
      <c r="B280" t="s">
        <v>17</v>
      </c>
      <c r="C280" t="s">
        <v>1546</v>
      </c>
      <c r="D280" s="5">
        <v>47189</v>
      </c>
      <c r="E280" s="5">
        <v>47195</v>
      </c>
      <c r="F280" s="5">
        <v>47181</v>
      </c>
      <c r="G280" s="5">
        <v>47188</v>
      </c>
    </row>
    <row r="281" spans="1:7" x14ac:dyDescent="0.35">
      <c r="A281" t="s">
        <v>1468</v>
      </c>
      <c r="B281" t="s">
        <v>18</v>
      </c>
      <c r="C281" t="s">
        <v>1547</v>
      </c>
      <c r="D281" s="5">
        <v>47196</v>
      </c>
      <c r="E281" s="5">
        <v>47202</v>
      </c>
      <c r="F281" s="5">
        <v>47202</v>
      </c>
      <c r="G281" s="5">
        <v>47202</v>
      </c>
    </row>
    <row r="282" spans="1:7" x14ac:dyDescent="0.35">
      <c r="A282" t="s">
        <v>1475</v>
      </c>
      <c r="B282" t="s">
        <v>6</v>
      </c>
      <c r="C282" t="s">
        <v>1548</v>
      </c>
      <c r="D282" s="5">
        <v>47203</v>
      </c>
      <c r="E282" s="5">
        <v>47209</v>
      </c>
      <c r="F282" s="5">
        <v>47202</v>
      </c>
      <c r="G282" s="5">
        <v>47209</v>
      </c>
    </row>
    <row r="283" spans="1:7" x14ac:dyDescent="0.35">
      <c r="A283" t="s">
        <v>1475</v>
      </c>
      <c r="B283" t="s">
        <v>7</v>
      </c>
      <c r="C283" t="s">
        <v>1549</v>
      </c>
      <c r="D283" s="5">
        <v>47210</v>
      </c>
      <c r="E283" s="5">
        <v>47216</v>
      </c>
      <c r="F283" s="5">
        <v>47202</v>
      </c>
      <c r="G283" s="5">
        <v>47209</v>
      </c>
    </row>
    <row r="284" spans="1:7" x14ac:dyDescent="0.35">
      <c r="A284" t="s">
        <v>1475</v>
      </c>
      <c r="B284" t="s">
        <v>8</v>
      </c>
      <c r="C284" t="s">
        <v>1550</v>
      </c>
      <c r="D284" s="5">
        <v>47217</v>
      </c>
      <c r="E284" s="5">
        <v>47223</v>
      </c>
      <c r="F284" s="5">
        <v>47216</v>
      </c>
      <c r="G284" s="5">
        <v>47223</v>
      </c>
    </row>
    <row r="285" spans="1:7" x14ac:dyDescent="0.35">
      <c r="A285" t="s">
        <v>1475</v>
      </c>
      <c r="B285" t="s">
        <v>9</v>
      </c>
      <c r="C285" t="s">
        <v>1551</v>
      </c>
      <c r="D285" s="5">
        <v>47224</v>
      </c>
      <c r="E285" s="5">
        <v>47230</v>
      </c>
      <c r="F285" s="5">
        <v>47216</v>
      </c>
      <c r="G285" s="5">
        <v>47223</v>
      </c>
    </row>
    <row r="286" spans="1:7" x14ac:dyDescent="0.35">
      <c r="A286" t="s">
        <v>1475</v>
      </c>
      <c r="B286" t="s">
        <v>10</v>
      </c>
      <c r="C286" t="s">
        <v>1552</v>
      </c>
      <c r="D286" s="5">
        <v>47231</v>
      </c>
      <c r="E286" s="5">
        <v>47237</v>
      </c>
      <c r="F286" s="5">
        <v>47230</v>
      </c>
      <c r="G286" s="5">
        <v>47237</v>
      </c>
    </row>
    <row r="287" spans="1:7" x14ac:dyDescent="0.35">
      <c r="A287" t="s">
        <v>1475</v>
      </c>
      <c r="B287" t="s">
        <v>11</v>
      </c>
      <c r="C287" t="s">
        <v>1553</v>
      </c>
      <c r="D287" s="5">
        <v>47238</v>
      </c>
      <c r="E287" s="5">
        <v>47244</v>
      </c>
      <c r="F287" s="5">
        <v>47230</v>
      </c>
      <c r="G287" s="5">
        <v>47237</v>
      </c>
    </row>
    <row r="288" spans="1:7" x14ac:dyDescent="0.35">
      <c r="A288" t="s">
        <v>1475</v>
      </c>
      <c r="B288" t="s">
        <v>12</v>
      </c>
      <c r="C288" t="s">
        <v>1554</v>
      </c>
      <c r="D288" s="5">
        <v>47245</v>
      </c>
      <c r="E288" s="5">
        <v>47251</v>
      </c>
      <c r="F288" s="5">
        <v>47244</v>
      </c>
      <c r="G288" s="5">
        <v>47251</v>
      </c>
    </row>
    <row r="289" spans="1:7" x14ac:dyDescent="0.35">
      <c r="A289" t="s">
        <v>1475</v>
      </c>
      <c r="B289" t="s">
        <v>13</v>
      </c>
      <c r="C289" t="s">
        <v>1555</v>
      </c>
      <c r="D289" s="5">
        <v>47252</v>
      </c>
      <c r="E289" s="5">
        <v>47258</v>
      </c>
      <c r="F289" s="5">
        <v>47244</v>
      </c>
      <c r="G289" s="5">
        <v>47251</v>
      </c>
    </row>
    <row r="290" spans="1:7" x14ac:dyDescent="0.35">
      <c r="A290" t="s">
        <v>1475</v>
      </c>
      <c r="B290" t="s">
        <v>14</v>
      </c>
      <c r="C290" t="s">
        <v>1556</v>
      </c>
      <c r="D290" s="5">
        <v>47259</v>
      </c>
      <c r="E290" s="5">
        <v>47265</v>
      </c>
      <c r="F290" s="5">
        <v>47258</v>
      </c>
      <c r="G290" s="5">
        <v>47265</v>
      </c>
    </row>
    <row r="291" spans="1:7" x14ac:dyDescent="0.35">
      <c r="A291" t="s">
        <v>1475</v>
      </c>
      <c r="B291" t="s">
        <v>15</v>
      </c>
      <c r="C291" t="s">
        <v>1557</v>
      </c>
      <c r="D291" s="5">
        <v>47266</v>
      </c>
      <c r="E291" s="5">
        <v>47272</v>
      </c>
      <c r="F291" s="5">
        <v>47258</v>
      </c>
      <c r="G291" s="5">
        <v>47265</v>
      </c>
    </row>
    <row r="292" spans="1:7" x14ac:dyDescent="0.35">
      <c r="A292" t="s">
        <v>1475</v>
      </c>
      <c r="B292" t="s">
        <v>16</v>
      </c>
      <c r="C292" t="s">
        <v>1558</v>
      </c>
      <c r="D292" s="5">
        <v>47273</v>
      </c>
      <c r="E292" s="5">
        <v>47279</v>
      </c>
      <c r="F292" s="5">
        <v>47272</v>
      </c>
      <c r="G292" s="5">
        <v>47279</v>
      </c>
    </row>
    <row r="293" spans="1:7" x14ac:dyDescent="0.35">
      <c r="A293" t="s">
        <v>1475</v>
      </c>
      <c r="B293" t="s">
        <v>17</v>
      </c>
      <c r="C293" t="s">
        <v>1559</v>
      </c>
      <c r="D293" s="5">
        <v>47280</v>
      </c>
      <c r="E293" s="5">
        <v>47286</v>
      </c>
      <c r="F293" s="5">
        <v>47272</v>
      </c>
      <c r="G293" s="5">
        <v>47279</v>
      </c>
    </row>
    <row r="294" spans="1:7" x14ac:dyDescent="0.35">
      <c r="A294" t="s">
        <v>1475</v>
      </c>
      <c r="B294" t="s">
        <v>18</v>
      </c>
      <c r="C294" t="s">
        <v>1560</v>
      </c>
      <c r="D294" s="5">
        <v>47287</v>
      </c>
      <c r="E294" s="5">
        <v>47293</v>
      </c>
      <c r="F294" s="5">
        <v>47293</v>
      </c>
      <c r="G294" s="5">
        <v>47293</v>
      </c>
    </row>
    <row r="295" spans="1:7" x14ac:dyDescent="0.35">
      <c r="A295" t="s">
        <v>1478</v>
      </c>
      <c r="B295" t="s">
        <v>6</v>
      </c>
      <c r="C295" t="s">
        <v>1561</v>
      </c>
      <c r="D295" s="5">
        <v>47294</v>
      </c>
      <c r="E295" s="5">
        <v>47300</v>
      </c>
      <c r="F295" s="5">
        <v>47293</v>
      </c>
      <c r="G295" s="5">
        <v>47300</v>
      </c>
    </row>
    <row r="296" spans="1:7" x14ac:dyDescent="0.35">
      <c r="A296" t="s">
        <v>1478</v>
      </c>
      <c r="B296" t="s">
        <v>7</v>
      </c>
      <c r="C296" t="s">
        <v>1562</v>
      </c>
      <c r="D296" s="5">
        <v>47301</v>
      </c>
      <c r="E296" s="5">
        <v>47307</v>
      </c>
      <c r="F296" s="5">
        <v>47293</v>
      </c>
      <c r="G296" s="5">
        <v>47300</v>
      </c>
    </row>
    <row r="297" spans="1:7" x14ac:dyDescent="0.35">
      <c r="A297" t="s">
        <v>1478</v>
      </c>
      <c r="B297" t="s">
        <v>8</v>
      </c>
      <c r="C297" t="s">
        <v>1563</v>
      </c>
      <c r="D297" s="5">
        <v>47308</v>
      </c>
      <c r="E297" s="5">
        <v>47314</v>
      </c>
      <c r="F297" s="5">
        <v>47307</v>
      </c>
      <c r="G297" s="5">
        <v>47314</v>
      </c>
    </row>
    <row r="298" spans="1:7" x14ac:dyDescent="0.35">
      <c r="A298" t="s">
        <v>1478</v>
      </c>
      <c r="B298" t="s">
        <v>9</v>
      </c>
      <c r="C298" t="s">
        <v>1564</v>
      </c>
      <c r="D298" s="5">
        <v>47315</v>
      </c>
      <c r="E298" s="5">
        <v>47321</v>
      </c>
      <c r="F298" s="5">
        <v>47307</v>
      </c>
      <c r="G298" s="5">
        <v>47314</v>
      </c>
    </row>
    <row r="299" spans="1:7" x14ac:dyDescent="0.35">
      <c r="A299" t="s">
        <v>1478</v>
      </c>
      <c r="B299" t="s">
        <v>10</v>
      </c>
      <c r="C299" t="s">
        <v>1565</v>
      </c>
      <c r="D299" s="5">
        <v>47322</v>
      </c>
      <c r="E299" s="5">
        <v>47328</v>
      </c>
      <c r="F299" s="5">
        <v>47321</v>
      </c>
      <c r="G299" s="5">
        <v>47328</v>
      </c>
    </row>
    <row r="300" spans="1:7" x14ac:dyDescent="0.35">
      <c r="A300" t="s">
        <v>1478</v>
      </c>
      <c r="B300" t="s">
        <v>11</v>
      </c>
      <c r="C300" t="s">
        <v>1566</v>
      </c>
      <c r="D300" s="5">
        <v>47329</v>
      </c>
      <c r="E300" s="5">
        <v>47335</v>
      </c>
      <c r="F300" s="5">
        <v>47321</v>
      </c>
      <c r="G300" s="5">
        <v>47328</v>
      </c>
    </row>
    <row r="301" spans="1:7" x14ac:dyDescent="0.35">
      <c r="A301" t="s">
        <v>1478</v>
      </c>
      <c r="B301" t="s">
        <v>12</v>
      </c>
      <c r="C301" t="s">
        <v>1567</v>
      </c>
      <c r="D301" s="5">
        <v>47336</v>
      </c>
      <c r="E301" s="5">
        <v>47342</v>
      </c>
      <c r="F301" s="5">
        <v>47335</v>
      </c>
      <c r="G301" s="5">
        <v>47342</v>
      </c>
    </row>
    <row r="302" spans="1:7" x14ac:dyDescent="0.35">
      <c r="A302" t="s">
        <v>1478</v>
      </c>
      <c r="B302" t="s">
        <v>13</v>
      </c>
      <c r="C302" t="s">
        <v>1568</v>
      </c>
      <c r="D302" s="5">
        <v>47343</v>
      </c>
      <c r="E302" s="5">
        <v>47349</v>
      </c>
      <c r="F302" s="5">
        <v>47335</v>
      </c>
      <c r="G302" s="5">
        <v>47342</v>
      </c>
    </row>
    <row r="303" spans="1:7" x14ac:dyDescent="0.35">
      <c r="A303" t="s">
        <v>1478</v>
      </c>
      <c r="B303" t="s">
        <v>14</v>
      </c>
      <c r="C303" t="s">
        <v>1569</v>
      </c>
      <c r="D303" s="5">
        <v>47350</v>
      </c>
      <c r="E303" s="5">
        <v>47356</v>
      </c>
      <c r="F303" s="5">
        <v>47349</v>
      </c>
      <c r="G303" s="5">
        <v>47356</v>
      </c>
    </row>
    <row r="304" spans="1:7" x14ac:dyDescent="0.35">
      <c r="A304" t="s">
        <v>1478</v>
      </c>
      <c r="B304" t="s">
        <v>15</v>
      </c>
      <c r="C304" t="s">
        <v>1570</v>
      </c>
      <c r="D304" s="5">
        <v>47357</v>
      </c>
      <c r="E304" s="5">
        <v>47363</v>
      </c>
      <c r="F304" s="5">
        <v>47349</v>
      </c>
      <c r="G304" s="5">
        <v>47356</v>
      </c>
    </row>
    <row r="305" spans="1:7" x14ac:dyDescent="0.35">
      <c r="A305" t="s">
        <v>1478</v>
      </c>
      <c r="B305" t="s">
        <v>16</v>
      </c>
      <c r="C305" t="s">
        <v>1571</v>
      </c>
      <c r="D305" s="5">
        <v>47364</v>
      </c>
      <c r="E305" s="5">
        <v>47370</v>
      </c>
      <c r="F305" s="5">
        <v>47363</v>
      </c>
      <c r="G305" s="5">
        <v>47370</v>
      </c>
    </row>
    <row r="306" spans="1:7" x14ac:dyDescent="0.35">
      <c r="A306" t="s">
        <v>1478</v>
      </c>
      <c r="B306" t="s">
        <v>17</v>
      </c>
      <c r="C306" t="s">
        <v>1572</v>
      </c>
      <c r="D306" s="5">
        <v>47371</v>
      </c>
      <c r="E306" s="5">
        <v>47377</v>
      </c>
      <c r="F306" s="5">
        <v>47363</v>
      </c>
      <c r="G306" s="5">
        <v>47370</v>
      </c>
    </row>
    <row r="307" spans="1:7" x14ac:dyDescent="0.35">
      <c r="A307" t="s">
        <v>1478</v>
      </c>
      <c r="B307" t="s">
        <v>18</v>
      </c>
      <c r="C307" t="s">
        <v>1573</v>
      </c>
      <c r="D307" s="5">
        <v>47378</v>
      </c>
      <c r="E307" s="5">
        <v>47384</v>
      </c>
      <c r="F307" s="5">
        <v>47384</v>
      </c>
      <c r="G307" s="5">
        <v>47384</v>
      </c>
    </row>
    <row r="308" spans="1:7" x14ac:dyDescent="0.35">
      <c r="A308" t="s">
        <v>1481</v>
      </c>
      <c r="B308" t="s">
        <v>6</v>
      </c>
      <c r="C308" s="4" t="s">
        <v>1574</v>
      </c>
      <c r="D308" s="5">
        <v>47392</v>
      </c>
      <c r="E308" s="5">
        <v>47398</v>
      </c>
      <c r="F308" s="5">
        <v>47391</v>
      </c>
      <c r="G308" s="5">
        <v>47398</v>
      </c>
    </row>
    <row r="309" spans="1:7" x14ac:dyDescent="0.35">
      <c r="A309" t="s">
        <v>1481</v>
      </c>
      <c r="B309" t="s">
        <v>7</v>
      </c>
      <c r="C309" s="4" t="s">
        <v>1575</v>
      </c>
      <c r="D309" s="5">
        <v>47399</v>
      </c>
      <c r="E309" s="5">
        <v>47405</v>
      </c>
      <c r="F309" s="5">
        <v>47391</v>
      </c>
      <c r="G309" s="5">
        <v>47398</v>
      </c>
    </row>
    <row r="310" spans="1:7" x14ac:dyDescent="0.35">
      <c r="A310" t="s">
        <v>1481</v>
      </c>
      <c r="B310" t="s">
        <v>8</v>
      </c>
      <c r="C310" s="4" t="s">
        <v>1576</v>
      </c>
      <c r="D310" s="5">
        <v>47406</v>
      </c>
      <c r="E310" s="5">
        <v>47412</v>
      </c>
      <c r="F310" s="5">
        <v>47405</v>
      </c>
      <c r="G310" s="5">
        <v>47412</v>
      </c>
    </row>
    <row r="311" spans="1:7" x14ac:dyDescent="0.35">
      <c r="A311" t="s">
        <v>1481</v>
      </c>
      <c r="B311" t="s">
        <v>9</v>
      </c>
      <c r="C311" s="4" t="s">
        <v>1577</v>
      </c>
      <c r="D311" s="5">
        <v>47413</v>
      </c>
      <c r="E311" s="5">
        <v>47419</v>
      </c>
      <c r="F311" s="5">
        <v>47405</v>
      </c>
      <c r="G311" s="5">
        <v>47412</v>
      </c>
    </row>
    <row r="312" spans="1:7" x14ac:dyDescent="0.35">
      <c r="A312" t="s">
        <v>1481</v>
      </c>
      <c r="B312" t="s">
        <v>10</v>
      </c>
      <c r="C312" s="4" t="s">
        <v>1578</v>
      </c>
      <c r="D312" s="5">
        <v>47420</v>
      </c>
      <c r="E312" s="5">
        <v>47426</v>
      </c>
      <c r="F312" s="5">
        <v>47419</v>
      </c>
      <c r="G312" s="5">
        <v>47426</v>
      </c>
    </row>
    <row r="313" spans="1:7" x14ac:dyDescent="0.35">
      <c r="A313" t="s">
        <v>1481</v>
      </c>
      <c r="B313" t="s">
        <v>11</v>
      </c>
      <c r="C313" s="4" t="s">
        <v>1579</v>
      </c>
      <c r="D313" s="5">
        <v>47427</v>
      </c>
      <c r="E313" s="5">
        <v>47433</v>
      </c>
      <c r="F313" s="5">
        <v>47419</v>
      </c>
      <c r="G313" s="5">
        <v>47426</v>
      </c>
    </row>
    <row r="314" spans="1:7" x14ac:dyDescent="0.35">
      <c r="A314" t="s">
        <v>1481</v>
      </c>
      <c r="B314" t="s">
        <v>12</v>
      </c>
      <c r="C314" s="4" t="s">
        <v>1580</v>
      </c>
      <c r="D314" s="5">
        <v>47434</v>
      </c>
      <c r="E314" s="5">
        <v>47440</v>
      </c>
      <c r="F314" s="5">
        <v>47433</v>
      </c>
      <c r="G314" s="5">
        <v>47440</v>
      </c>
    </row>
    <row r="315" spans="1:7" x14ac:dyDescent="0.35">
      <c r="A315" t="s">
        <v>1481</v>
      </c>
      <c r="B315" t="s">
        <v>13</v>
      </c>
      <c r="C315" s="4" t="s">
        <v>1581</v>
      </c>
      <c r="D315" s="5">
        <v>47441</v>
      </c>
      <c r="E315" s="5">
        <v>47447</v>
      </c>
      <c r="F315" s="5">
        <v>47433</v>
      </c>
      <c r="G315" s="5">
        <v>47440</v>
      </c>
    </row>
    <row r="316" spans="1:7" x14ac:dyDescent="0.35">
      <c r="A316" t="s">
        <v>1481</v>
      </c>
      <c r="B316" t="s">
        <v>14</v>
      </c>
      <c r="C316" s="4" t="s">
        <v>1582</v>
      </c>
      <c r="D316" s="5">
        <v>47448</v>
      </c>
      <c r="E316" s="5">
        <v>47454</v>
      </c>
      <c r="F316" s="5">
        <v>47447</v>
      </c>
      <c r="G316" s="5">
        <v>47454</v>
      </c>
    </row>
    <row r="317" spans="1:7" x14ac:dyDescent="0.35">
      <c r="A317" t="s">
        <v>1481</v>
      </c>
      <c r="B317" t="s">
        <v>15</v>
      </c>
      <c r="C317" s="4" t="s">
        <v>1583</v>
      </c>
      <c r="D317" s="5">
        <v>47455</v>
      </c>
      <c r="E317" s="5">
        <v>47461</v>
      </c>
      <c r="F317" s="5">
        <v>47447</v>
      </c>
      <c r="G317" s="5">
        <v>47454</v>
      </c>
    </row>
    <row r="318" spans="1:7" x14ac:dyDescent="0.35">
      <c r="A318" t="s">
        <v>1481</v>
      </c>
      <c r="B318" t="s">
        <v>16</v>
      </c>
      <c r="C318" s="4" t="s">
        <v>1584</v>
      </c>
      <c r="D318" s="5">
        <v>47462</v>
      </c>
      <c r="E318" s="5">
        <v>47468</v>
      </c>
      <c r="F318" s="5">
        <v>47461</v>
      </c>
      <c r="G318" s="5">
        <v>47468</v>
      </c>
    </row>
    <row r="319" spans="1:7" x14ac:dyDescent="0.35">
      <c r="A319" t="s">
        <v>1481</v>
      </c>
      <c r="B319" t="s">
        <v>17</v>
      </c>
      <c r="C319" s="4" t="s">
        <v>1585</v>
      </c>
      <c r="D319" s="5">
        <v>47469</v>
      </c>
      <c r="E319" s="5">
        <v>47475</v>
      </c>
      <c r="F319" s="5">
        <v>47461</v>
      </c>
      <c r="G319" s="5">
        <v>47468</v>
      </c>
    </row>
    <row r="320" spans="1:7" x14ac:dyDescent="0.35">
      <c r="A320" t="s">
        <v>1481</v>
      </c>
      <c r="B320" t="s">
        <v>18</v>
      </c>
      <c r="C320" s="4" t="s">
        <v>1586</v>
      </c>
      <c r="D320" s="5">
        <v>47476</v>
      </c>
      <c r="E320" s="5">
        <v>47482</v>
      </c>
      <c r="F320" s="5">
        <v>47482</v>
      </c>
      <c r="G320" s="5">
        <v>47482</v>
      </c>
    </row>
    <row r="321" spans="1:7" x14ac:dyDescent="0.35">
      <c r="A321" t="s">
        <v>1469</v>
      </c>
      <c r="B321" t="s">
        <v>6</v>
      </c>
      <c r="C321" s="4" t="s">
        <v>1587</v>
      </c>
      <c r="D321" s="5">
        <v>47483</v>
      </c>
      <c r="E321" s="5">
        <v>47489</v>
      </c>
      <c r="F321" s="5">
        <v>47482</v>
      </c>
      <c r="G321" s="5">
        <v>47489</v>
      </c>
    </row>
    <row r="322" spans="1:7" x14ac:dyDescent="0.35">
      <c r="A322" t="s">
        <v>1469</v>
      </c>
      <c r="B322" t="s">
        <v>7</v>
      </c>
      <c r="C322" s="4" t="s">
        <v>1588</v>
      </c>
      <c r="D322" s="5">
        <v>47490</v>
      </c>
      <c r="E322" s="5">
        <v>47496</v>
      </c>
      <c r="F322" s="5">
        <v>47482</v>
      </c>
      <c r="G322" s="5">
        <v>47489</v>
      </c>
    </row>
    <row r="323" spans="1:7" x14ac:dyDescent="0.35">
      <c r="A323" t="s">
        <v>1469</v>
      </c>
      <c r="B323" t="s">
        <v>8</v>
      </c>
      <c r="C323" s="4" t="s">
        <v>1589</v>
      </c>
      <c r="D323" s="5">
        <v>47497</v>
      </c>
      <c r="E323" s="5">
        <v>47503</v>
      </c>
      <c r="F323" s="5">
        <v>47496</v>
      </c>
      <c r="G323" s="5">
        <v>47503</v>
      </c>
    </row>
    <row r="324" spans="1:7" x14ac:dyDescent="0.35">
      <c r="A324" t="s">
        <v>1469</v>
      </c>
      <c r="B324" t="s">
        <v>9</v>
      </c>
      <c r="C324" s="4" t="s">
        <v>1590</v>
      </c>
      <c r="D324" s="5">
        <v>47504</v>
      </c>
      <c r="E324" s="5">
        <v>47510</v>
      </c>
      <c r="F324" s="5">
        <v>47496</v>
      </c>
      <c r="G324" s="5">
        <v>47503</v>
      </c>
    </row>
    <row r="325" spans="1:7" x14ac:dyDescent="0.35">
      <c r="A325" t="s">
        <v>1469</v>
      </c>
      <c r="B325" t="s">
        <v>10</v>
      </c>
      <c r="C325" s="4" t="s">
        <v>1591</v>
      </c>
      <c r="D325" s="5">
        <v>47511</v>
      </c>
      <c r="E325" s="5">
        <v>47517</v>
      </c>
      <c r="F325" s="5">
        <v>47510</v>
      </c>
      <c r="G325" s="5">
        <v>47517</v>
      </c>
    </row>
    <row r="326" spans="1:7" x14ac:dyDescent="0.35">
      <c r="A326" t="s">
        <v>1469</v>
      </c>
      <c r="B326" t="s">
        <v>11</v>
      </c>
      <c r="C326" s="4" t="s">
        <v>1592</v>
      </c>
      <c r="D326" s="5">
        <v>47518</v>
      </c>
      <c r="E326" s="5">
        <v>47524</v>
      </c>
      <c r="F326" s="5">
        <v>47510</v>
      </c>
      <c r="G326" s="5">
        <v>47517</v>
      </c>
    </row>
    <row r="327" spans="1:7" x14ac:dyDescent="0.35">
      <c r="A327" t="s">
        <v>1469</v>
      </c>
      <c r="B327" t="s">
        <v>12</v>
      </c>
      <c r="C327" s="4" t="s">
        <v>1593</v>
      </c>
      <c r="D327" s="5">
        <v>47525</v>
      </c>
      <c r="E327" s="5">
        <v>47531</v>
      </c>
      <c r="F327" s="5">
        <v>47524</v>
      </c>
      <c r="G327" s="5">
        <v>47531</v>
      </c>
    </row>
    <row r="328" spans="1:7" x14ac:dyDescent="0.35">
      <c r="A328" t="s">
        <v>1469</v>
      </c>
      <c r="B328" t="s">
        <v>13</v>
      </c>
      <c r="C328" s="4" t="s">
        <v>1594</v>
      </c>
      <c r="D328" s="5">
        <v>47532</v>
      </c>
      <c r="E328" s="5">
        <v>47538</v>
      </c>
      <c r="F328" s="5">
        <v>47524</v>
      </c>
      <c r="G328" s="5">
        <v>47531</v>
      </c>
    </row>
    <row r="329" spans="1:7" x14ac:dyDescent="0.35">
      <c r="A329" t="s">
        <v>1469</v>
      </c>
      <c r="B329" t="s">
        <v>14</v>
      </c>
      <c r="C329" s="4" t="s">
        <v>1595</v>
      </c>
      <c r="D329" s="5">
        <v>47539</v>
      </c>
      <c r="E329" s="5">
        <v>47545</v>
      </c>
      <c r="F329" s="5">
        <v>47538</v>
      </c>
      <c r="G329" s="5">
        <v>47545</v>
      </c>
    </row>
    <row r="330" spans="1:7" x14ac:dyDescent="0.35">
      <c r="A330" t="s">
        <v>1469</v>
      </c>
      <c r="B330" t="s">
        <v>15</v>
      </c>
      <c r="C330" s="4" t="s">
        <v>1596</v>
      </c>
      <c r="D330" s="5">
        <v>47546</v>
      </c>
      <c r="E330" s="5">
        <v>47552</v>
      </c>
      <c r="F330" s="5">
        <v>47538</v>
      </c>
      <c r="G330" s="5">
        <v>47545</v>
      </c>
    </row>
    <row r="331" spans="1:7" x14ac:dyDescent="0.35">
      <c r="A331" t="s">
        <v>1469</v>
      </c>
      <c r="B331" t="s">
        <v>16</v>
      </c>
      <c r="C331" s="4" t="s">
        <v>1597</v>
      </c>
      <c r="D331" s="5">
        <v>47553</v>
      </c>
      <c r="E331" s="5">
        <v>47559</v>
      </c>
      <c r="F331" s="5">
        <v>47552</v>
      </c>
      <c r="G331" s="5">
        <v>47559</v>
      </c>
    </row>
    <row r="332" spans="1:7" x14ac:dyDescent="0.35">
      <c r="A332" t="s">
        <v>1469</v>
      </c>
      <c r="B332" t="s">
        <v>17</v>
      </c>
      <c r="C332" s="4" t="s">
        <v>1598</v>
      </c>
      <c r="D332" s="5">
        <v>47560</v>
      </c>
      <c r="E332" s="5">
        <v>47566</v>
      </c>
      <c r="F332" s="5">
        <v>47552</v>
      </c>
      <c r="G332" s="5">
        <v>47559</v>
      </c>
    </row>
    <row r="333" spans="1:7" x14ac:dyDescent="0.35">
      <c r="A333" t="s">
        <v>1469</v>
      </c>
      <c r="B333" t="s">
        <v>18</v>
      </c>
      <c r="C333" s="4" t="s">
        <v>1599</v>
      </c>
      <c r="D333" s="5">
        <v>47567</v>
      </c>
      <c r="E333" s="5">
        <v>47573</v>
      </c>
      <c r="F333" s="5">
        <v>47573</v>
      </c>
      <c r="G333" s="5">
        <v>47573</v>
      </c>
    </row>
    <row r="334" spans="1:7" x14ac:dyDescent="0.35">
      <c r="A334" t="s">
        <v>1476</v>
      </c>
      <c r="B334" t="s">
        <v>6</v>
      </c>
      <c r="C334" s="4" t="s">
        <v>1599</v>
      </c>
      <c r="D334" s="5">
        <v>47567</v>
      </c>
      <c r="E334" s="5">
        <v>47573</v>
      </c>
      <c r="F334" s="5">
        <v>47566</v>
      </c>
      <c r="G334" s="5">
        <v>47573</v>
      </c>
    </row>
    <row r="335" spans="1:7" x14ac:dyDescent="0.35">
      <c r="A335" t="s">
        <v>1476</v>
      </c>
      <c r="B335" t="s">
        <v>7</v>
      </c>
      <c r="C335" s="4" t="s">
        <v>1600</v>
      </c>
      <c r="D335" s="5">
        <v>47574</v>
      </c>
      <c r="E335" s="5">
        <v>47580</v>
      </c>
      <c r="F335" s="5">
        <v>47566</v>
      </c>
      <c r="G335" s="5">
        <v>47573</v>
      </c>
    </row>
    <row r="336" spans="1:7" x14ac:dyDescent="0.35">
      <c r="A336" t="s">
        <v>1476</v>
      </c>
      <c r="B336" t="s">
        <v>8</v>
      </c>
      <c r="C336" s="4" t="s">
        <v>1601</v>
      </c>
      <c r="D336" s="5">
        <v>47581</v>
      </c>
      <c r="E336" s="5">
        <v>47587</v>
      </c>
      <c r="F336" s="5">
        <v>47580</v>
      </c>
      <c r="G336" s="5">
        <v>47587</v>
      </c>
    </row>
    <row r="337" spans="1:7" x14ac:dyDescent="0.35">
      <c r="A337" t="s">
        <v>1476</v>
      </c>
      <c r="B337" t="s">
        <v>9</v>
      </c>
      <c r="C337" s="4" t="s">
        <v>1602</v>
      </c>
      <c r="D337" s="5">
        <v>47588</v>
      </c>
      <c r="E337" s="5">
        <v>47594</v>
      </c>
      <c r="F337" s="5">
        <v>47580</v>
      </c>
      <c r="G337" s="5">
        <v>47587</v>
      </c>
    </row>
    <row r="338" spans="1:7" x14ac:dyDescent="0.35">
      <c r="A338" t="s">
        <v>1476</v>
      </c>
      <c r="B338" t="s">
        <v>10</v>
      </c>
      <c r="C338" s="4" t="s">
        <v>1603</v>
      </c>
      <c r="D338" s="5">
        <v>47595</v>
      </c>
      <c r="E338" s="5">
        <v>47601</v>
      </c>
      <c r="F338" s="5">
        <v>47594</v>
      </c>
      <c r="G338" s="5">
        <v>47601</v>
      </c>
    </row>
    <row r="339" spans="1:7" x14ac:dyDescent="0.35">
      <c r="A339" t="s">
        <v>1476</v>
      </c>
      <c r="B339" t="s">
        <v>11</v>
      </c>
      <c r="C339" s="4" t="s">
        <v>1604</v>
      </c>
      <c r="D339" s="5">
        <v>47602</v>
      </c>
      <c r="E339" s="5">
        <v>47608</v>
      </c>
      <c r="F339" s="5">
        <v>47594</v>
      </c>
      <c r="G339" s="5">
        <v>47601</v>
      </c>
    </row>
    <row r="340" spans="1:7" x14ac:dyDescent="0.35">
      <c r="A340" t="s">
        <v>1476</v>
      </c>
      <c r="B340" t="s">
        <v>12</v>
      </c>
      <c r="C340" s="4" t="s">
        <v>1605</v>
      </c>
      <c r="D340" s="5">
        <v>47609</v>
      </c>
      <c r="E340" s="5">
        <v>47615</v>
      </c>
      <c r="F340" s="5">
        <v>47608</v>
      </c>
      <c r="G340" s="5">
        <v>47615</v>
      </c>
    </row>
    <row r="341" spans="1:7" x14ac:dyDescent="0.35">
      <c r="A341" t="s">
        <v>1476</v>
      </c>
      <c r="B341" t="s">
        <v>13</v>
      </c>
      <c r="C341" s="4" t="s">
        <v>1606</v>
      </c>
      <c r="D341" s="5">
        <v>47616</v>
      </c>
      <c r="E341" s="5">
        <v>47622</v>
      </c>
      <c r="F341" s="5">
        <v>47608</v>
      </c>
      <c r="G341" s="5">
        <v>47615</v>
      </c>
    </row>
    <row r="342" spans="1:7" x14ac:dyDescent="0.35">
      <c r="A342" t="s">
        <v>1476</v>
      </c>
      <c r="B342" t="s">
        <v>14</v>
      </c>
      <c r="C342" s="4" t="s">
        <v>1607</v>
      </c>
      <c r="D342" s="5">
        <v>47623</v>
      </c>
      <c r="E342" s="5">
        <v>47629</v>
      </c>
      <c r="F342" s="5">
        <v>47622</v>
      </c>
      <c r="G342" s="5">
        <v>47629</v>
      </c>
    </row>
    <row r="343" spans="1:7" x14ac:dyDescent="0.35">
      <c r="A343" t="s">
        <v>1476</v>
      </c>
      <c r="B343" t="s">
        <v>15</v>
      </c>
      <c r="C343" s="4" t="s">
        <v>1608</v>
      </c>
      <c r="D343" s="5">
        <v>47630</v>
      </c>
      <c r="E343" s="5">
        <v>47636</v>
      </c>
      <c r="F343" s="5">
        <v>47622</v>
      </c>
      <c r="G343" s="5">
        <v>47629</v>
      </c>
    </row>
    <row r="344" spans="1:7" x14ac:dyDescent="0.35">
      <c r="A344" t="s">
        <v>1476</v>
      </c>
      <c r="B344" t="s">
        <v>16</v>
      </c>
      <c r="C344" s="4" t="s">
        <v>1609</v>
      </c>
      <c r="D344" s="5">
        <v>47637</v>
      </c>
      <c r="E344" s="5">
        <v>47643</v>
      </c>
      <c r="F344" s="5">
        <v>47636</v>
      </c>
      <c r="G344" s="5">
        <v>47643</v>
      </c>
    </row>
    <row r="345" spans="1:7" x14ac:dyDescent="0.35">
      <c r="A345" t="s">
        <v>1476</v>
      </c>
      <c r="B345" t="s">
        <v>17</v>
      </c>
      <c r="C345" s="4" t="s">
        <v>1610</v>
      </c>
      <c r="D345" s="5">
        <v>47644</v>
      </c>
      <c r="E345" s="5">
        <v>47650</v>
      </c>
      <c r="F345" s="5">
        <v>47636</v>
      </c>
      <c r="G345" s="5">
        <v>47643</v>
      </c>
    </row>
    <row r="346" spans="1:7" x14ac:dyDescent="0.35">
      <c r="A346" t="s">
        <v>1476</v>
      </c>
      <c r="B346" t="s">
        <v>18</v>
      </c>
      <c r="C346" s="4" t="s">
        <v>1611</v>
      </c>
      <c r="D346" s="5">
        <v>47651</v>
      </c>
      <c r="E346" s="5">
        <v>47657</v>
      </c>
      <c r="F346" s="5">
        <v>47657</v>
      </c>
      <c r="G346" s="5">
        <v>47657</v>
      </c>
    </row>
    <row r="347" spans="1:7" x14ac:dyDescent="0.35">
      <c r="A347" t="s">
        <v>1479</v>
      </c>
      <c r="B347" t="s">
        <v>6</v>
      </c>
      <c r="C347" s="4" t="s">
        <v>1612</v>
      </c>
      <c r="D347" s="5">
        <v>47658</v>
      </c>
      <c r="E347" s="5">
        <v>47664</v>
      </c>
      <c r="F347" s="5">
        <v>47657</v>
      </c>
      <c r="G347" s="5">
        <v>47664</v>
      </c>
    </row>
    <row r="348" spans="1:7" x14ac:dyDescent="0.35">
      <c r="A348" t="s">
        <v>1479</v>
      </c>
      <c r="B348" t="s">
        <v>7</v>
      </c>
      <c r="C348" s="4" t="s">
        <v>1613</v>
      </c>
      <c r="D348" s="5">
        <v>47665</v>
      </c>
      <c r="E348" s="5">
        <v>47671</v>
      </c>
      <c r="F348" s="5">
        <v>47657</v>
      </c>
      <c r="G348" s="5">
        <v>47664</v>
      </c>
    </row>
    <row r="349" spans="1:7" x14ac:dyDescent="0.35">
      <c r="A349" t="s">
        <v>1479</v>
      </c>
      <c r="B349" t="s">
        <v>8</v>
      </c>
      <c r="C349" s="4" t="s">
        <v>1614</v>
      </c>
      <c r="D349" s="5">
        <v>47672</v>
      </c>
      <c r="E349" s="5">
        <v>47678</v>
      </c>
      <c r="F349" s="5">
        <v>47671</v>
      </c>
      <c r="G349" s="5">
        <v>47678</v>
      </c>
    </row>
    <row r="350" spans="1:7" x14ac:dyDescent="0.35">
      <c r="A350" t="s">
        <v>1479</v>
      </c>
      <c r="B350" t="s">
        <v>9</v>
      </c>
      <c r="C350" s="4" t="s">
        <v>1615</v>
      </c>
      <c r="D350" s="5">
        <v>47679</v>
      </c>
      <c r="E350" s="5">
        <v>47685</v>
      </c>
      <c r="F350" s="5">
        <v>47671</v>
      </c>
      <c r="G350" s="5">
        <v>47678</v>
      </c>
    </row>
    <row r="351" spans="1:7" x14ac:dyDescent="0.35">
      <c r="A351" t="s">
        <v>1479</v>
      </c>
      <c r="B351" t="s">
        <v>10</v>
      </c>
      <c r="C351" s="4" t="s">
        <v>1616</v>
      </c>
      <c r="D351" s="5">
        <v>47686</v>
      </c>
      <c r="E351" s="5">
        <v>47692</v>
      </c>
      <c r="F351" s="5">
        <v>47685</v>
      </c>
      <c r="G351" s="5">
        <v>47692</v>
      </c>
    </row>
    <row r="352" spans="1:7" x14ac:dyDescent="0.35">
      <c r="A352" t="s">
        <v>1479</v>
      </c>
      <c r="B352" t="s">
        <v>11</v>
      </c>
      <c r="C352" s="4" t="s">
        <v>1617</v>
      </c>
      <c r="D352" s="5">
        <v>47693</v>
      </c>
      <c r="E352" s="5">
        <v>47699</v>
      </c>
      <c r="F352" s="5">
        <v>47685</v>
      </c>
      <c r="G352" s="5">
        <v>47692</v>
      </c>
    </row>
    <row r="353" spans="1:7" x14ac:dyDescent="0.35">
      <c r="A353" t="s">
        <v>1479</v>
      </c>
      <c r="B353" t="s">
        <v>12</v>
      </c>
      <c r="C353" s="4" t="s">
        <v>1618</v>
      </c>
      <c r="D353" s="5">
        <v>47700</v>
      </c>
      <c r="E353" s="5">
        <v>47706</v>
      </c>
      <c r="F353" s="5">
        <v>47699</v>
      </c>
      <c r="G353" s="5">
        <v>47706</v>
      </c>
    </row>
    <row r="354" spans="1:7" x14ac:dyDescent="0.35">
      <c r="A354" t="s">
        <v>1479</v>
      </c>
      <c r="B354" t="s">
        <v>13</v>
      </c>
      <c r="C354" s="4" t="s">
        <v>1619</v>
      </c>
      <c r="D354" s="5">
        <v>47707</v>
      </c>
      <c r="E354" s="5">
        <v>47713</v>
      </c>
      <c r="F354" s="5">
        <v>47699</v>
      </c>
      <c r="G354" s="5">
        <v>47706</v>
      </c>
    </row>
    <row r="355" spans="1:7" x14ac:dyDescent="0.35">
      <c r="A355" t="s">
        <v>1479</v>
      </c>
      <c r="B355" t="s">
        <v>14</v>
      </c>
      <c r="C355" s="4" t="s">
        <v>1620</v>
      </c>
      <c r="D355" s="5">
        <v>47714</v>
      </c>
      <c r="E355" s="5">
        <v>47720</v>
      </c>
      <c r="F355" s="5">
        <v>47713</v>
      </c>
      <c r="G355" s="5">
        <v>47720</v>
      </c>
    </row>
    <row r="356" spans="1:7" x14ac:dyDescent="0.35">
      <c r="A356" t="s">
        <v>1479</v>
      </c>
      <c r="B356" t="s">
        <v>15</v>
      </c>
      <c r="C356" s="4" t="s">
        <v>1621</v>
      </c>
      <c r="D356" s="5">
        <v>47721</v>
      </c>
      <c r="E356" s="5">
        <v>47727</v>
      </c>
      <c r="F356" s="5">
        <v>47713</v>
      </c>
      <c r="G356" s="5">
        <v>47720</v>
      </c>
    </row>
    <row r="357" spans="1:7" x14ac:dyDescent="0.35">
      <c r="A357" t="s">
        <v>1479</v>
      </c>
      <c r="B357" t="s">
        <v>16</v>
      </c>
      <c r="C357" s="4" t="s">
        <v>1622</v>
      </c>
      <c r="D357" s="5">
        <v>47728</v>
      </c>
      <c r="E357" s="5">
        <v>47734</v>
      </c>
      <c r="F357" s="5">
        <v>47727</v>
      </c>
      <c r="G357" s="5">
        <v>47734</v>
      </c>
    </row>
    <row r="358" spans="1:7" x14ac:dyDescent="0.35">
      <c r="A358" t="s">
        <v>1479</v>
      </c>
      <c r="B358" t="s">
        <v>17</v>
      </c>
      <c r="C358" s="4" t="s">
        <v>1623</v>
      </c>
      <c r="D358" s="5">
        <v>47735</v>
      </c>
      <c r="E358" s="5">
        <v>47741</v>
      </c>
      <c r="F358" s="5">
        <v>47727</v>
      </c>
      <c r="G358" s="5">
        <v>47734</v>
      </c>
    </row>
    <row r="359" spans="1:7" x14ac:dyDescent="0.35">
      <c r="A359" t="s">
        <v>1479</v>
      </c>
      <c r="B359" t="s">
        <v>18</v>
      </c>
      <c r="C359" s="4" t="s">
        <v>1624</v>
      </c>
      <c r="D359" s="5">
        <v>47742</v>
      </c>
      <c r="E359" s="5">
        <v>47748</v>
      </c>
      <c r="F359" s="5">
        <v>47748</v>
      </c>
      <c r="G359" s="5">
        <v>47748</v>
      </c>
    </row>
    <row r="360" spans="1:7" x14ac:dyDescent="0.35">
      <c r="A360" t="s">
        <v>1482</v>
      </c>
      <c r="B360" t="s">
        <v>6</v>
      </c>
      <c r="C360" s="4" t="s">
        <v>1625</v>
      </c>
      <c r="D360" s="5">
        <v>47756</v>
      </c>
      <c r="E360" s="5">
        <v>47762</v>
      </c>
      <c r="F360" s="5">
        <v>47755</v>
      </c>
      <c r="G360" s="5">
        <v>47762</v>
      </c>
    </row>
    <row r="361" spans="1:7" x14ac:dyDescent="0.35">
      <c r="A361" t="s">
        <v>1482</v>
      </c>
      <c r="B361" t="s">
        <v>7</v>
      </c>
      <c r="C361" s="4" t="s">
        <v>1626</v>
      </c>
      <c r="D361" s="5">
        <v>47763</v>
      </c>
      <c r="E361" s="5">
        <v>47769</v>
      </c>
      <c r="F361" s="5">
        <v>47755</v>
      </c>
      <c r="G361" s="5">
        <v>47762</v>
      </c>
    </row>
    <row r="362" spans="1:7" x14ac:dyDescent="0.35">
      <c r="A362" t="s">
        <v>1482</v>
      </c>
      <c r="B362" t="s">
        <v>8</v>
      </c>
      <c r="C362" s="4" t="s">
        <v>1627</v>
      </c>
      <c r="D362" s="5">
        <v>47770</v>
      </c>
      <c r="E362" s="5">
        <v>47776</v>
      </c>
      <c r="F362" s="5">
        <v>47769</v>
      </c>
      <c r="G362" s="5">
        <v>47776</v>
      </c>
    </row>
    <row r="363" spans="1:7" x14ac:dyDescent="0.35">
      <c r="A363" t="s">
        <v>1482</v>
      </c>
      <c r="B363" t="s">
        <v>9</v>
      </c>
      <c r="C363" s="4" t="s">
        <v>1628</v>
      </c>
      <c r="D363" s="5">
        <v>47777</v>
      </c>
      <c r="E363" s="5">
        <v>47783</v>
      </c>
      <c r="F363" s="5">
        <v>47769</v>
      </c>
      <c r="G363" s="5">
        <v>47776</v>
      </c>
    </row>
    <row r="364" spans="1:7" x14ac:dyDescent="0.35">
      <c r="A364" t="s">
        <v>1482</v>
      </c>
      <c r="B364" t="s">
        <v>10</v>
      </c>
      <c r="C364" s="4" t="s">
        <v>1629</v>
      </c>
      <c r="D364" s="5">
        <v>47784</v>
      </c>
      <c r="E364" s="5">
        <v>47790</v>
      </c>
      <c r="F364" s="5">
        <v>47783</v>
      </c>
      <c r="G364" s="5">
        <v>47790</v>
      </c>
    </row>
    <row r="365" spans="1:7" x14ac:dyDescent="0.35">
      <c r="A365" t="s">
        <v>1482</v>
      </c>
      <c r="B365" t="s">
        <v>11</v>
      </c>
      <c r="C365" s="4" t="s">
        <v>1630</v>
      </c>
      <c r="D365" s="5">
        <v>47791</v>
      </c>
      <c r="E365" s="5">
        <v>47797</v>
      </c>
      <c r="F365" s="5">
        <v>47783</v>
      </c>
      <c r="G365" s="5">
        <v>47790</v>
      </c>
    </row>
    <row r="366" spans="1:7" x14ac:dyDescent="0.35">
      <c r="A366" t="s">
        <v>1482</v>
      </c>
      <c r="B366" t="s">
        <v>12</v>
      </c>
      <c r="C366" s="4" t="s">
        <v>1631</v>
      </c>
      <c r="D366" s="5">
        <v>47798</v>
      </c>
      <c r="E366" s="5">
        <v>47804</v>
      </c>
      <c r="F366" s="5">
        <v>47797</v>
      </c>
      <c r="G366" s="5">
        <v>47804</v>
      </c>
    </row>
    <row r="367" spans="1:7" x14ac:dyDescent="0.35">
      <c r="A367" t="s">
        <v>1482</v>
      </c>
      <c r="B367" t="s">
        <v>13</v>
      </c>
      <c r="C367" s="4" t="s">
        <v>1632</v>
      </c>
      <c r="D367" s="5">
        <v>47805</v>
      </c>
      <c r="E367" s="5">
        <v>47811</v>
      </c>
      <c r="F367" s="5">
        <v>47797</v>
      </c>
      <c r="G367" s="5">
        <v>47804</v>
      </c>
    </row>
    <row r="368" spans="1:7" x14ac:dyDescent="0.35">
      <c r="A368" t="s">
        <v>1482</v>
      </c>
      <c r="B368" t="s">
        <v>14</v>
      </c>
      <c r="C368" s="4" t="s">
        <v>1633</v>
      </c>
      <c r="D368" s="5">
        <v>47812</v>
      </c>
      <c r="E368" s="5">
        <v>47818</v>
      </c>
      <c r="F368" s="5">
        <v>47811</v>
      </c>
      <c r="G368" s="5">
        <v>47818</v>
      </c>
    </row>
    <row r="369" spans="1:8" x14ac:dyDescent="0.35">
      <c r="A369" t="s">
        <v>1482</v>
      </c>
      <c r="B369" t="s">
        <v>15</v>
      </c>
      <c r="C369" s="4" t="s">
        <v>1634</v>
      </c>
      <c r="D369" s="5">
        <v>47819</v>
      </c>
      <c r="E369" s="5">
        <v>47825</v>
      </c>
      <c r="F369" s="5">
        <v>47811</v>
      </c>
      <c r="G369" s="5">
        <v>47818</v>
      </c>
    </row>
    <row r="370" spans="1:8" x14ac:dyDescent="0.35">
      <c r="A370" t="s">
        <v>1482</v>
      </c>
      <c r="B370" t="s">
        <v>16</v>
      </c>
      <c r="C370" s="4" t="s">
        <v>1635</v>
      </c>
      <c r="D370" s="5">
        <v>47826</v>
      </c>
      <c r="E370" s="5">
        <v>47832</v>
      </c>
      <c r="F370" s="5">
        <v>47825</v>
      </c>
      <c r="G370" s="5">
        <v>47832</v>
      </c>
    </row>
    <row r="371" spans="1:8" x14ac:dyDescent="0.35">
      <c r="A371" t="s">
        <v>1482</v>
      </c>
      <c r="B371" t="s">
        <v>17</v>
      </c>
      <c r="C371" s="4" t="s">
        <v>1636</v>
      </c>
      <c r="D371" s="5">
        <v>47833</v>
      </c>
      <c r="E371" s="5">
        <v>47839</v>
      </c>
      <c r="F371" s="5">
        <v>47825</v>
      </c>
      <c r="G371" s="5">
        <v>47832</v>
      </c>
    </row>
    <row r="372" spans="1:8" x14ac:dyDescent="0.35">
      <c r="A372" t="s">
        <v>1482</v>
      </c>
      <c r="B372" t="s">
        <v>18</v>
      </c>
      <c r="C372" s="4" t="s">
        <v>1637</v>
      </c>
      <c r="D372" s="5">
        <v>47840</v>
      </c>
      <c r="E372" s="5">
        <v>47846</v>
      </c>
      <c r="F372" s="5">
        <v>47846</v>
      </c>
      <c r="G372" s="5">
        <v>47846</v>
      </c>
    </row>
    <row r="374" spans="1:8" x14ac:dyDescent="0.35">
      <c r="E374" s="6"/>
      <c r="F374" s="6"/>
      <c r="G374" s="6"/>
      <c r="H374" s="6"/>
    </row>
    <row r="375" spans="1:8" x14ac:dyDescent="0.35">
      <c r="E375" s="5"/>
      <c r="F375" s="5"/>
      <c r="G375" s="5"/>
      <c r="H375" s="5"/>
    </row>
    <row r="376" spans="1:8" x14ac:dyDescent="0.35">
      <c r="E376" s="5"/>
      <c r="F376" s="5"/>
      <c r="G376" s="5"/>
      <c r="H376" s="5"/>
    </row>
    <row r="377" spans="1:8" x14ac:dyDescent="0.35">
      <c r="E377" s="5"/>
      <c r="F377" s="5"/>
      <c r="G377" s="5"/>
      <c r="H377" s="5"/>
    </row>
    <row r="378" spans="1:8" x14ac:dyDescent="0.35">
      <c r="E378" s="5"/>
      <c r="F378" s="5"/>
      <c r="G378" s="5"/>
      <c r="H378" s="5"/>
    </row>
    <row r="379" spans="1:8" x14ac:dyDescent="0.35">
      <c r="E379" s="5"/>
      <c r="F379" s="5"/>
      <c r="G379" s="5"/>
      <c r="H379" s="5"/>
    </row>
    <row r="380" spans="1:8" x14ac:dyDescent="0.35">
      <c r="E380" s="5"/>
      <c r="F380" s="5"/>
      <c r="G380" s="5"/>
      <c r="H380" s="5"/>
    </row>
    <row r="381" spans="1:8" x14ac:dyDescent="0.35">
      <c r="E381" s="5"/>
      <c r="F381" s="5"/>
      <c r="G381" s="5"/>
      <c r="H381" s="5"/>
    </row>
    <row r="382" spans="1:8" x14ac:dyDescent="0.35">
      <c r="E382" s="5"/>
      <c r="F382" s="5"/>
      <c r="G382" s="5"/>
      <c r="H382" s="5"/>
    </row>
    <row r="383" spans="1:8" x14ac:dyDescent="0.35">
      <c r="E383" s="5"/>
      <c r="F383" s="5"/>
      <c r="G383" s="5"/>
      <c r="H383" s="5"/>
    </row>
    <row r="384" spans="1:8" x14ac:dyDescent="0.35">
      <c r="E384" s="5"/>
      <c r="F384" s="5"/>
      <c r="G384" s="5"/>
      <c r="H384" s="5"/>
    </row>
    <row r="385" spans="5:8" x14ac:dyDescent="0.35">
      <c r="E385" s="5"/>
      <c r="F385" s="5"/>
      <c r="G385" s="5"/>
      <c r="H385" s="5"/>
    </row>
    <row r="386" spans="5:8" x14ac:dyDescent="0.35">
      <c r="E386" s="5"/>
      <c r="F386" s="5"/>
      <c r="G386" s="5"/>
      <c r="H386" s="5"/>
    </row>
    <row r="387" spans="5:8" x14ac:dyDescent="0.35">
      <c r="E387" s="5"/>
      <c r="F387" s="5"/>
      <c r="G387" s="5"/>
      <c r="H387" s="5"/>
    </row>
    <row r="391" spans="5:8" x14ac:dyDescent="0.35">
      <c r="E391" s="6"/>
      <c r="F391" s="6"/>
      <c r="G391" s="6"/>
    </row>
    <row r="392" spans="5:8" x14ac:dyDescent="0.35">
      <c r="E392" s="4"/>
      <c r="F392" s="4"/>
      <c r="G392" s="4"/>
    </row>
    <row r="393" spans="5:8" x14ac:dyDescent="0.35">
      <c r="E393" s="4"/>
      <c r="F393" s="4"/>
      <c r="G393" s="4"/>
    </row>
    <row r="394" spans="5:8" x14ac:dyDescent="0.35">
      <c r="E394" s="4"/>
      <c r="F394" s="4"/>
      <c r="G394" s="4"/>
    </row>
    <row r="395" spans="5:8" x14ac:dyDescent="0.35">
      <c r="E395" s="4"/>
      <c r="F395" s="4"/>
      <c r="G395" s="4"/>
    </row>
    <row r="396" spans="5:8" x14ac:dyDescent="0.35">
      <c r="E396" s="4"/>
      <c r="F396" s="4"/>
      <c r="G396" s="4"/>
    </row>
    <row r="397" spans="5:8" x14ac:dyDescent="0.35">
      <c r="E397" s="4"/>
      <c r="F397" s="4"/>
      <c r="G397" s="4"/>
    </row>
    <row r="398" spans="5:8" x14ac:dyDescent="0.35">
      <c r="E398" s="4"/>
      <c r="F398" s="4"/>
      <c r="G398" s="4"/>
    </row>
    <row r="399" spans="5:8" x14ac:dyDescent="0.35">
      <c r="E399" s="4"/>
      <c r="F399" s="4"/>
      <c r="G399" s="4"/>
    </row>
    <row r="400" spans="5:8" x14ac:dyDescent="0.35">
      <c r="E400" s="4"/>
      <c r="F400" s="4"/>
      <c r="G400" s="4"/>
    </row>
    <row r="401" spans="5:7" x14ac:dyDescent="0.35">
      <c r="E401" s="4"/>
      <c r="F401" s="4"/>
      <c r="G401" s="4"/>
    </row>
    <row r="402" spans="5:7" x14ac:dyDescent="0.35">
      <c r="E402" s="4"/>
      <c r="F402" s="4"/>
      <c r="G402" s="4"/>
    </row>
    <row r="403" spans="5:7" x14ac:dyDescent="0.35">
      <c r="E403" s="4"/>
      <c r="F403" s="4"/>
      <c r="G403" s="4"/>
    </row>
    <row r="404" spans="5:7" x14ac:dyDescent="0.35">
      <c r="E404" s="4"/>
      <c r="F404" s="4"/>
      <c r="G404" s="4"/>
    </row>
  </sheetData>
  <phoneticPr fontId="2" type="noConversion"/>
  <conditionalFormatting sqref="H2:H216">
    <cfRule type="duplicateValues" dxfId="5"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CF4F6-2122-4D2F-BC1B-350A7C9B61F9}">
  <dimension ref="A1:F401"/>
  <sheetViews>
    <sheetView workbookViewId="0">
      <selection activeCell="E3" sqref="E3"/>
    </sheetView>
  </sheetViews>
  <sheetFormatPr baseColWidth="10" defaultRowHeight="14.5" x14ac:dyDescent="0.35"/>
  <cols>
    <col min="2" max="2" width="16.26953125" bestFit="1" customWidth="1"/>
    <col min="3" max="3" width="15.6328125" bestFit="1" customWidth="1"/>
    <col min="4" max="4" width="22.81640625" bestFit="1" customWidth="1"/>
    <col min="5" max="5" width="17.54296875" style="2" bestFit="1" customWidth="1"/>
    <col min="6" max="6" width="14.81640625" style="2" bestFit="1" customWidth="1"/>
  </cols>
  <sheetData>
    <row r="1" spans="1:6" x14ac:dyDescent="0.35">
      <c r="A1" t="s">
        <v>0</v>
      </c>
      <c r="B1" t="s">
        <v>1463</v>
      </c>
      <c r="C1" t="s">
        <v>1465</v>
      </c>
      <c r="D1" t="s">
        <v>2</v>
      </c>
      <c r="E1" s="2" t="s">
        <v>1470</v>
      </c>
      <c r="F1" s="2" t="s">
        <v>1471</v>
      </c>
    </row>
    <row r="2" spans="1:6" x14ac:dyDescent="0.35">
      <c r="A2" t="s">
        <v>124</v>
      </c>
      <c r="B2" s="8" t="s">
        <v>1464</v>
      </c>
      <c r="C2">
        <v>1</v>
      </c>
      <c r="D2" t="s">
        <v>125</v>
      </c>
      <c r="E2" s="2">
        <f>VLOOKUP(D2,Semaine_ref_trim!$C$1:$E$372,2,FALSE)</f>
        <v>46020</v>
      </c>
      <c r="F2" s="2">
        <f>VLOOKUP(D2,Semaine_ref_trim!$C$1:$E$372,3,FALSE)</f>
        <v>46026</v>
      </c>
    </row>
    <row r="3" spans="1:6" x14ac:dyDescent="0.35">
      <c r="A3" t="s">
        <v>124</v>
      </c>
      <c r="B3" s="8" t="s">
        <v>1464</v>
      </c>
      <c r="C3">
        <v>2</v>
      </c>
      <c r="D3" t="s">
        <v>126</v>
      </c>
      <c r="E3" s="2">
        <f>VLOOKUP(D3,Semaine_ref_trim!$C$1:$E$372,2,FALSE)</f>
        <v>46027</v>
      </c>
      <c r="F3" s="2">
        <f>VLOOKUP(D3,Semaine_ref_trim!$C$1:$E$372,3,FALSE)</f>
        <v>46033</v>
      </c>
    </row>
    <row r="4" spans="1:6" x14ac:dyDescent="0.35">
      <c r="A4" t="s">
        <v>124</v>
      </c>
      <c r="B4" s="8" t="s">
        <v>1464</v>
      </c>
      <c r="C4">
        <v>3</v>
      </c>
      <c r="D4" t="s">
        <v>127</v>
      </c>
      <c r="E4" s="2">
        <f>VLOOKUP(D4,Semaine_ref_trim!$C$1:$E$372,2,FALSE)</f>
        <v>46034</v>
      </c>
      <c r="F4" s="2">
        <f>VLOOKUP(D4,Semaine_ref_trim!$C$1:$E$372,3,FALSE)</f>
        <v>46040</v>
      </c>
    </row>
    <row r="5" spans="1:6" x14ac:dyDescent="0.35">
      <c r="A5" t="s">
        <v>124</v>
      </c>
      <c r="B5" s="8" t="s">
        <v>1464</v>
      </c>
      <c r="C5">
        <v>4</v>
      </c>
      <c r="D5" t="s">
        <v>128</v>
      </c>
      <c r="E5" s="2">
        <f>VLOOKUP(D5,Semaine_ref_trim!$C$1:$E$372,2,FALSE)</f>
        <v>46041</v>
      </c>
      <c r="F5" s="2">
        <f>VLOOKUP(D5,Semaine_ref_trim!$C$1:$E$372,3,FALSE)</f>
        <v>46047</v>
      </c>
    </row>
    <row r="6" spans="1:6" x14ac:dyDescent="0.35">
      <c r="A6" t="s">
        <v>124</v>
      </c>
      <c r="B6" s="8" t="s">
        <v>1464</v>
      </c>
      <c r="C6">
        <v>5</v>
      </c>
      <c r="D6" t="s">
        <v>129</v>
      </c>
      <c r="E6" s="2">
        <f>VLOOKUP(D6,Semaine_ref_trim!$C$1:$E$372,2,FALSE)</f>
        <v>46048</v>
      </c>
      <c r="F6" s="2">
        <f>VLOOKUP(D6,Semaine_ref_trim!$C$1:$E$372,3,FALSE)</f>
        <v>46054</v>
      </c>
    </row>
    <row r="7" spans="1:6" x14ac:dyDescent="0.35">
      <c r="A7" t="s">
        <v>124</v>
      </c>
      <c r="B7" s="8" t="s">
        <v>1464</v>
      </c>
      <c r="C7">
        <v>6</v>
      </c>
      <c r="D7" t="s">
        <v>130</v>
      </c>
      <c r="E7" s="2">
        <f>VLOOKUP(D7,Semaine_ref_trim!$C$1:$E$372,2,FALSE)</f>
        <v>46055</v>
      </c>
      <c r="F7" s="2">
        <f>VLOOKUP(D7,Semaine_ref_trim!$C$1:$E$372,3,FALSE)</f>
        <v>46061</v>
      </c>
    </row>
    <row r="8" spans="1:6" x14ac:dyDescent="0.35">
      <c r="A8" t="s">
        <v>124</v>
      </c>
      <c r="B8" s="8" t="s">
        <v>1464</v>
      </c>
      <c r="C8">
        <v>7</v>
      </c>
      <c r="D8" t="s">
        <v>131</v>
      </c>
      <c r="E8" s="2">
        <f>VLOOKUP(D8,Semaine_ref_trim!$C$1:$E$372,2,FALSE)</f>
        <v>46062</v>
      </c>
      <c r="F8" s="2">
        <f>VLOOKUP(D8,Semaine_ref_trim!$C$1:$E$372,3,FALSE)</f>
        <v>46068</v>
      </c>
    </row>
    <row r="9" spans="1:6" x14ac:dyDescent="0.35">
      <c r="A9" t="s">
        <v>124</v>
      </c>
      <c r="B9" s="8" t="s">
        <v>1464</v>
      </c>
      <c r="C9">
        <v>8</v>
      </c>
      <c r="D9" t="s">
        <v>132</v>
      </c>
      <c r="E9" s="2">
        <f>VLOOKUP(D9,Semaine_ref_trim!$C$1:$E$372,2,FALSE)</f>
        <v>46069</v>
      </c>
      <c r="F9" s="2">
        <f>VLOOKUP(D9,Semaine_ref_trim!$C$1:$E$372,3,FALSE)</f>
        <v>46075</v>
      </c>
    </row>
    <row r="10" spans="1:6" x14ac:dyDescent="0.35">
      <c r="A10" t="s">
        <v>124</v>
      </c>
      <c r="B10" s="8" t="s">
        <v>1464</v>
      </c>
      <c r="C10">
        <v>9</v>
      </c>
      <c r="D10" t="s">
        <v>133</v>
      </c>
      <c r="E10" s="2">
        <f>VLOOKUP(D10,Semaine_ref_trim!$C$1:$E$372,2,FALSE)</f>
        <v>46076</v>
      </c>
      <c r="F10" s="2">
        <f>VLOOKUP(D10,Semaine_ref_trim!$C$1:$E$372,3,FALSE)</f>
        <v>46082</v>
      </c>
    </row>
    <row r="11" spans="1:6" x14ac:dyDescent="0.35">
      <c r="A11" t="s">
        <v>124</v>
      </c>
      <c r="B11" s="8" t="s">
        <v>1464</v>
      </c>
      <c r="C11">
        <v>10</v>
      </c>
      <c r="D11" t="s">
        <v>134</v>
      </c>
      <c r="E11" s="2">
        <f>VLOOKUP(D11,Semaine_ref_trim!$C$1:$E$372,2,FALSE)</f>
        <v>46083</v>
      </c>
      <c r="F11" s="2">
        <f>VLOOKUP(D11,Semaine_ref_trim!$C$1:$E$372,3,FALSE)</f>
        <v>46089</v>
      </c>
    </row>
    <row r="12" spans="1:6" x14ac:dyDescent="0.35">
      <c r="A12" t="s">
        <v>124</v>
      </c>
      <c r="B12" s="8" t="s">
        <v>1464</v>
      </c>
      <c r="C12">
        <v>11</v>
      </c>
      <c r="D12" t="s">
        <v>135</v>
      </c>
      <c r="E12" s="2">
        <f>VLOOKUP(D12,Semaine_ref_trim!$C$1:$E$372,2,FALSE)</f>
        <v>46090</v>
      </c>
      <c r="F12" s="2">
        <f>VLOOKUP(D12,Semaine_ref_trim!$C$1:$E$372,3,FALSE)</f>
        <v>46096</v>
      </c>
    </row>
    <row r="13" spans="1:6" x14ac:dyDescent="0.35">
      <c r="A13" t="s">
        <v>124</v>
      </c>
      <c r="B13" s="8" t="s">
        <v>1464</v>
      </c>
      <c r="C13">
        <v>12</v>
      </c>
      <c r="D13" t="s">
        <v>136</v>
      </c>
      <c r="E13" s="2">
        <f>VLOOKUP(D13,Semaine_ref_trim!$C$1:$E$372,2,FALSE)</f>
        <v>46097</v>
      </c>
      <c r="F13" s="2">
        <f>VLOOKUP(D13,Semaine_ref_trim!$C$1:$E$372,3,FALSE)</f>
        <v>46103</v>
      </c>
    </row>
    <row r="14" spans="1:6" x14ac:dyDescent="0.35">
      <c r="A14" t="s">
        <v>124</v>
      </c>
      <c r="B14" s="8" t="s">
        <v>1464</v>
      </c>
      <c r="C14">
        <v>13</v>
      </c>
      <c r="D14" t="s">
        <v>137</v>
      </c>
      <c r="E14" s="2">
        <f>VLOOKUP(D14,Semaine_ref_trim!$C$1:$E$372,2,FALSE)</f>
        <v>46104</v>
      </c>
      <c r="F14" s="2">
        <f>VLOOKUP(D14,Semaine_ref_trim!$C$1:$E$372,3,FALSE)</f>
        <v>46110</v>
      </c>
    </row>
    <row r="15" spans="1:6" x14ac:dyDescent="0.35">
      <c r="A15" t="s">
        <v>124</v>
      </c>
      <c r="B15" s="8" t="s">
        <v>1466</v>
      </c>
      <c r="C15">
        <v>1</v>
      </c>
      <c r="D15" t="str">
        <f>D2</f>
        <v>Monday 29 December 2025</v>
      </c>
      <c r="E15" s="2">
        <f>VLOOKUP(D15,Semaine_ref_trim!$C$1:$E$372,2,FALSE)</f>
        <v>46020</v>
      </c>
      <c r="F15" s="2">
        <f>VLOOKUP(D15,Semaine_ref_trim!$C$1:$E$372,3,FALSE)</f>
        <v>46026</v>
      </c>
    </row>
    <row r="16" spans="1:6" x14ac:dyDescent="0.35">
      <c r="A16" t="s">
        <v>124</v>
      </c>
      <c r="B16" s="8" t="s">
        <v>1466</v>
      </c>
      <c r="C16">
        <v>2</v>
      </c>
      <c r="D16" t="str">
        <f>D4</f>
        <v>Monday 12 January 2026</v>
      </c>
      <c r="E16" s="2">
        <f>VLOOKUP(D16,Semaine_ref_trim!$C$1:$E$372,2,FALSE)</f>
        <v>46034</v>
      </c>
      <c r="F16" s="2">
        <f>VLOOKUP(D16,Semaine_ref_trim!$C$1:$E$372,3,FALSE)</f>
        <v>46040</v>
      </c>
    </row>
    <row r="17" spans="1:6" x14ac:dyDescent="0.35">
      <c r="A17" t="s">
        <v>124</v>
      </c>
      <c r="B17" s="8" t="s">
        <v>1466</v>
      </c>
      <c r="C17">
        <v>3</v>
      </c>
      <c r="D17" t="str">
        <f>D6</f>
        <v>Monday 26 January 2026</v>
      </c>
      <c r="E17" s="2">
        <f>VLOOKUP(D17,Semaine_ref_trim!$C$1:$E$372,2,FALSE)</f>
        <v>46048</v>
      </c>
      <c r="F17" s="2">
        <f>VLOOKUP(D17,Semaine_ref_trim!$C$1:$E$372,3,FALSE)</f>
        <v>46054</v>
      </c>
    </row>
    <row r="18" spans="1:6" x14ac:dyDescent="0.35">
      <c r="A18" t="s">
        <v>124</v>
      </c>
      <c r="B18" s="8" t="s">
        <v>1466</v>
      </c>
      <c r="C18">
        <v>4</v>
      </c>
      <c r="D18" t="str">
        <f>D8</f>
        <v>Monday 9 February 2026</v>
      </c>
      <c r="E18" s="2">
        <f>VLOOKUP(D18,Semaine_ref_trim!$C$1:$E$372,2,FALSE)</f>
        <v>46062</v>
      </c>
      <c r="F18" s="2">
        <f>VLOOKUP(D18,Semaine_ref_trim!$C$1:$E$372,3,FALSE)</f>
        <v>46068</v>
      </c>
    </row>
    <row r="19" spans="1:6" x14ac:dyDescent="0.35">
      <c r="A19" t="s">
        <v>124</v>
      </c>
      <c r="B19" s="8" t="s">
        <v>1466</v>
      </c>
      <c r="C19">
        <v>5</v>
      </c>
      <c r="D19" t="str">
        <f>D10</f>
        <v>Monday 23 February 2026</v>
      </c>
      <c r="E19" s="2">
        <f>VLOOKUP(D19,Semaine_ref_trim!$C$1:$E$372,2,FALSE)</f>
        <v>46076</v>
      </c>
      <c r="F19" s="2">
        <f>VLOOKUP(D19,Semaine_ref_trim!$C$1:$E$372,3,FALSE)</f>
        <v>46082</v>
      </c>
    </row>
    <row r="20" spans="1:6" x14ac:dyDescent="0.35">
      <c r="A20" t="s">
        <v>124</v>
      </c>
      <c r="B20" s="8" t="s">
        <v>1466</v>
      </c>
      <c r="C20">
        <v>6</v>
      </c>
      <c r="D20" t="str">
        <f>D12</f>
        <v>Monday 9 March 2026</v>
      </c>
      <c r="E20" s="2">
        <f>VLOOKUP(D20,Semaine_ref_trim!$C$1:$E$372,2,FALSE)</f>
        <v>46090</v>
      </c>
      <c r="F20" s="2">
        <f>VLOOKUP(D20,Semaine_ref_trim!$C$1:$E$372,3,FALSE)</f>
        <v>46096</v>
      </c>
    </row>
    <row r="21" spans="1:6" x14ac:dyDescent="0.35">
      <c r="A21" t="s">
        <v>124</v>
      </c>
      <c r="B21" s="8" t="s">
        <v>1466</v>
      </c>
      <c r="C21">
        <v>7</v>
      </c>
      <c r="D21" t="str">
        <f>D14</f>
        <v>Monday 23 March 2026</v>
      </c>
      <c r="E21" s="2">
        <f>VLOOKUP(D21,Semaine_ref_trim!$C$1:$E$372,2,FALSE)</f>
        <v>46104</v>
      </c>
      <c r="F21" s="2">
        <f>VLOOKUP(D21,Semaine_ref_trim!$C$1:$E$372,3,FALSE)</f>
        <v>46110</v>
      </c>
    </row>
    <row r="22" spans="1:6" x14ac:dyDescent="0.35">
      <c r="A22" t="s">
        <v>141</v>
      </c>
      <c r="B22" s="8" t="s">
        <v>1464</v>
      </c>
      <c r="C22">
        <v>1</v>
      </c>
      <c r="D22" t="s">
        <v>142</v>
      </c>
      <c r="E22" s="2">
        <f>VLOOKUP(D22,Semaine_ref_trim!$C$1:$E$372,2,FALSE)</f>
        <v>46111</v>
      </c>
      <c r="F22" s="2">
        <f>VLOOKUP(D22,Semaine_ref_trim!$C$1:$E$372,3,FALSE)</f>
        <v>46117</v>
      </c>
    </row>
    <row r="23" spans="1:6" x14ac:dyDescent="0.35">
      <c r="A23" t="s">
        <v>141</v>
      </c>
      <c r="B23" s="8" t="s">
        <v>1464</v>
      </c>
      <c r="C23">
        <v>2</v>
      </c>
      <c r="D23" t="s">
        <v>143</v>
      </c>
      <c r="E23" s="2">
        <f>VLOOKUP(D23,Semaine_ref_trim!$C$1:$E$372,2,FALSE)</f>
        <v>46118</v>
      </c>
      <c r="F23" s="2">
        <f>VLOOKUP(D23,Semaine_ref_trim!$C$1:$E$372,3,FALSE)</f>
        <v>46124</v>
      </c>
    </row>
    <row r="24" spans="1:6" x14ac:dyDescent="0.35">
      <c r="A24" t="s">
        <v>141</v>
      </c>
      <c r="B24" s="8" t="s">
        <v>1464</v>
      </c>
      <c r="C24">
        <v>3</v>
      </c>
      <c r="D24" t="s">
        <v>144</v>
      </c>
      <c r="E24" s="2">
        <f>VLOOKUP(D24,Semaine_ref_trim!$C$1:$E$372,2,FALSE)</f>
        <v>46125</v>
      </c>
      <c r="F24" s="2">
        <f>VLOOKUP(D24,Semaine_ref_trim!$C$1:$E$372,3,FALSE)</f>
        <v>46131</v>
      </c>
    </row>
    <row r="25" spans="1:6" x14ac:dyDescent="0.35">
      <c r="A25" t="s">
        <v>141</v>
      </c>
      <c r="B25" s="8" t="s">
        <v>1464</v>
      </c>
      <c r="C25">
        <v>4</v>
      </c>
      <c r="D25" t="s">
        <v>145</v>
      </c>
      <c r="E25" s="2">
        <f>VLOOKUP(D25,Semaine_ref_trim!$C$1:$E$372,2,FALSE)</f>
        <v>46132</v>
      </c>
      <c r="F25" s="2">
        <f>VLOOKUP(D25,Semaine_ref_trim!$C$1:$E$372,3,FALSE)</f>
        <v>46138</v>
      </c>
    </row>
    <row r="26" spans="1:6" x14ac:dyDescent="0.35">
      <c r="A26" t="s">
        <v>141</v>
      </c>
      <c r="B26" s="8" t="s">
        <v>1464</v>
      </c>
      <c r="C26">
        <v>5</v>
      </c>
      <c r="D26" t="s">
        <v>146</v>
      </c>
      <c r="E26" s="2">
        <f>VLOOKUP(D26,Semaine_ref_trim!$C$1:$E$372,2,FALSE)</f>
        <v>46139</v>
      </c>
      <c r="F26" s="2">
        <f>VLOOKUP(D26,Semaine_ref_trim!$C$1:$E$372,3,FALSE)</f>
        <v>46145</v>
      </c>
    </row>
    <row r="27" spans="1:6" x14ac:dyDescent="0.35">
      <c r="A27" t="s">
        <v>141</v>
      </c>
      <c r="B27" s="8" t="s">
        <v>1464</v>
      </c>
      <c r="C27">
        <v>6</v>
      </c>
      <c r="D27" t="s">
        <v>147</v>
      </c>
      <c r="E27" s="2">
        <f>VLOOKUP(D27,Semaine_ref_trim!$C$1:$E$372,2,FALSE)</f>
        <v>46146</v>
      </c>
      <c r="F27" s="2">
        <f>VLOOKUP(D27,Semaine_ref_trim!$C$1:$E$372,3,FALSE)</f>
        <v>46152</v>
      </c>
    </row>
    <row r="28" spans="1:6" x14ac:dyDescent="0.35">
      <c r="A28" t="s">
        <v>141</v>
      </c>
      <c r="B28" s="8" t="s">
        <v>1464</v>
      </c>
      <c r="C28">
        <v>7</v>
      </c>
      <c r="D28" t="s">
        <v>148</v>
      </c>
      <c r="E28" s="2">
        <f>VLOOKUP(D28,Semaine_ref_trim!$C$1:$E$372,2,FALSE)</f>
        <v>46153</v>
      </c>
      <c r="F28" s="2">
        <f>VLOOKUP(D28,Semaine_ref_trim!$C$1:$E$372,3,FALSE)</f>
        <v>46159</v>
      </c>
    </row>
    <row r="29" spans="1:6" x14ac:dyDescent="0.35">
      <c r="A29" t="s">
        <v>141</v>
      </c>
      <c r="B29" s="8" t="s">
        <v>1464</v>
      </c>
      <c r="C29">
        <v>8</v>
      </c>
      <c r="D29" t="s">
        <v>149</v>
      </c>
      <c r="E29" s="2">
        <f>VLOOKUP(D29,Semaine_ref_trim!$C$1:$E$372,2,FALSE)</f>
        <v>46160</v>
      </c>
      <c r="F29" s="2">
        <f>VLOOKUP(D29,Semaine_ref_trim!$C$1:$E$372,3,FALSE)</f>
        <v>46166</v>
      </c>
    </row>
    <row r="30" spans="1:6" x14ac:dyDescent="0.35">
      <c r="A30" t="s">
        <v>141</v>
      </c>
      <c r="B30" s="8" t="s">
        <v>1464</v>
      </c>
      <c r="C30">
        <v>9</v>
      </c>
      <c r="D30" t="s">
        <v>150</v>
      </c>
      <c r="E30" s="2">
        <f>VLOOKUP(D30,Semaine_ref_trim!$C$1:$E$372,2,FALSE)</f>
        <v>46167</v>
      </c>
      <c r="F30" s="2">
        <f>VLOOKUP(D30,Semaine_ref_trim!$C$1:$E$372,3,FALSE)</f>
        <v>46173</v>
      </c>
    </row>
    <row r="31" spans="1:6" x14ac:dyDescent="0.35">
      <c r="A31" t="s">
        <v>141</v>
      </c>
      <c r="B31" s="8" t="s">
        <v>1464</v>
      </c>
      <c r="C31">
        <v>10</v>
      </c>
      <c r="D31" t="s">
        <v>150</v>
      </c>
      <c r="E31" s="2">
        <f>VLOOKUP(D31,Semaine_ref_trim!$C$1:$E$372,2,FALSE)</f>
        <v>46167</v>
      </c>
      <c r="F31" s="2">
        <f>VLOOKUP(D31,Semaine_ref_trim!$C$1:$E$372,3,FALSE)</f>
        <v>46173</v>
      </c>
    </row>
    <row r="32" spans="1:6" x14ac:dyDescent="0.35">
      <c r="A32" t="s">
        <v>141</v>
      </c>
      <c r="B32" s="8" t="s">
        <v>1464</v>
      </c>
      <c r="C32">
        <v>11</v>
      </c>
      <c r="D32" t="s">
        <v>151</v>
      </c>
      <c r="E32" s="2">
        <f>VLOOKUP(D32,Semaine_ref_trim!$C$1:$E$372,2,FALSE)</f>
        <v>46181</v>
      </c>
      <c r="F32" s="2">
        <f>VLOOKUP(D32,Semaine_ref_trim!$C$1:$E$372,3,FALSE)</f>
        <v>46187</v>
      </c>
    </row>
    <row r="33" spans="1:6" x14ac:dyDescent="0.35">
      <c r="A33" t="s">
        <v>141</v>
      </c>
      <c r="B33" s="8" t="s">
        <v>1464</v>
      </c>
      <c r="C33">
        <v>12</v>
      </c>
      <c r="D33" t="s">
        <v>152</v>
      </c>
      <c r="E33" s="2">
        <f>VLOOKUP(D33,Semaine_ref_trim!$C$1:$E$372,2,FALSE)</f>
        <v>46188</v>
      </c>
      <c r="F33" s="2">
        <f>VLOOKUP(D33,Semaine_ref_trim!$C$1:$E$372,3,FALSE)</f>
        <v>46194</v>
      </c>
    </row>
    <row r="34" spans="1:6" x14ac:dyDescent="0.35">
      <c r="A34" t="s">
        <v>141</v>
      </c>
      <c r="B34" s="8" t="s">
        <v>1464</v>
      </c>
      <c r="C34">
        <v>13</v>
      </c>
      <c r="D34" t="s">
        <v>153</v>
      </c>
      <c r="E34" s="2">
        <f>VLOOKUP(D34,Semaine_ref_trim!$C$1:$E$372,2,FALSE)</f>
        <v>46195</v>
      </c>
      <c r="F34" s="2">
        <f>VLOOKUP(D34,Semaine_ref_trim!$C$1:$E$372,3,FALSE)</f>
        <v>46201</v>
      </c>
    </row>
    <row r="35" spans="1:6" x14ac:dyDescent="0.35">
      <c r="A35" t="s">
        <v>141</v>
      </c>
      <c r="B35" s="8" t="s">
        <v>1466</v>
      </c>
      <c r="C35">
        <v>1</v>
      </c>
      <c r="D35" t="str">
        <f>D22</f>
        <v>Monday 30 March 2026</v>
      </c>
      <c r="E35" s="2">
        <f>VLOOKUP(D35,Semaine_ref_trim!$C$1:$E$372,2,FALSE)</f>
        <v>46111</v>
      </c>
      <c r="F35" s="2">
        <f>VLOOKUP(D35,Semaine_ref_trim!$C$1:$E$372,3,FALSE)</f>
        <v>46117</v>
      </c>
    </row>
    <row r="36" spans="1:6" x14ac:dyDescent="0.35">
      <c r="A36" t="s">
        <v>141</v>
      </c>
      <c r="B36" s="8" t="s">
        <v>1466</v>
      </c>
      <c r="C36">
        <v>2</v>
      </c>
      <c r="D36" t="str">
        <f>D24</f>
        <v>Monday 13 April 2026</v>
      </c>
      <c r="E36" s="2">
        <f>VLOOKUP(D36,Semaine_ref_trim!$C$1:$E$372,2,FALSE)</f>
        <v>46125</v>
      </c>
      <c r="F36" s="2">
        <f>VLOOKUP(D36,Semaine_ref_trim!$C$1:$E$372,3,FALSE)</f>
        <v>46131</v>
      </c>
    </row>
    <row r="37" spans="1:6" x14ac:dyDescent="0.35">
      <c r="A37" t="s">
        <v>141</v>
      </c>
      <c r="B37" s="8" t="s">
        <v>1466</v>
      </c>
      <c r="C37">
        <v>3</v>
      </c>
      <c r="D37" t="str">
        <f>D26</f>
        <v>Monday 27 April 2026</v>
      </c>
      <c r="E37" s="2">
        <f>VLOOKUP(D37,Semaine_ref_trim!$C$1:$E$372,2,FALSE)</f>
        <v>46139</v>
      </c>
      <c r="F37" s="2">
        <f>VLOOKUP(D37,Semaine_ref_trim!$C$1:$E$372,3,FALSE)</f>
        <v>46145</v>
      </c>
    </row>
    <row r="38" spans="1:6" x14ac:dyDescent="0.35">
      <c r="A38" t="s">
        <v>141</v>
      </c>
      <c r="B38" s="8" t="s">
        <v>1466</v>
      </c>
      <c r="C38">
        <v>4</v>
      </c>
      <c r="D38" t="str">
        <f>D28</f>
        <v>Monday 11 May 2026</v>
      </c>
      <c r="E38" s="2">
        <f>VLOOKUP(D38,Semaine_ref_trim!$C$1:$E$372,2,FALSE)</f>
        <v>46153</v>
      </c>
      <c r="F38" s="2">
        <f>VLOOKUP(D38,Semaine_ref_trim!$C$1:$E$372,3,FALSE)</f>
        <v>46159</v>
      </c>
    </row>
    <row r="39" spans="1:6" x14ac:dyDescent="0.35">
      <c r="A39" t="s">
        <v>141</v>
      </c>
      <c r="B39" s="8" t="s">
        <v>1466</v>
      </c>
      <c r="C39">
        <v>5</v>
      </c>
      <c r="D39" t="str">
        <f>D30</f>
        <v>Monday 25 May 2026</v>
      </c>
      <c r="E39" s="2">
        <f>VLOOKUP(D39,Semaine_ref_trim!$C$1:$E$372,2,FALSE)</f>
        <v>46167</v>
      </c>
      <c r="F39" s="2">
        <f>VLOOKUP(D39,Semaine_ref_trim!$C$1:$E$372,3,FALSE)</f>
        <v>46173</v>
      </c>
    </row>
    <row r="40" spans="1:6" x14ac:dyDescent="0.35">
      <c r="A40" t="s">
        <v>141</v>
      </c>
      <c r="B40" s="8" t="s">
        <v>1466</v>
      </c>
      <c r="C40">
        <v>6</v>
      </c>
      <c r="D40" t="str">
        <f>D32</f>
        <v>Monday 8 June 2026</v>
      </c>
      <c r="E40" s="2">
        <f>VLOOKUP(D40,Semaine_ref_trim!$C$1:$E$372,2,FALSE)</f>
        <v>46181</v>
      </c>
      <c r="F40" s="2">
        <f>VLOOKUP(D40,Semaine_ref_trim!$C$1:$E$372,3,FALSE)</f>
        <v>46187</v>
      </c>
    </row>
    <row r="41" spans="1:6" x14ac:dyDescent="0.35">
      <c r="A41" t="s">
        <v>141</v>
      </c>
      <c r="B41" s="8" t="s">
        <v>1466</v>
      </c>
      <c r="C41">
        <v>7</v>
      </c>
      <c r="D41" t="str">
        <f>D34</f>
        <v>Monday 22 June 2026</v>
      </c>
      <c r="E41" s="2">
        <f>VLOOKUP(D41,Semaine_ref_trim!$C$1:$E$372,2,FALSE)</f>
        <v>46195</v>
      </c>
      <c r="F41" s="2">
        <f>VLOOKUP(D41,Semaine_ref_trim!$C$1:$E$372,3,FALSE)</f>
        <v>46201</v>
      </c>
    </row>
    <row r="42" spans="1:6" x14ac:dyDescent="0.35">
      <c r="A42" t="s">
        <v>155</v>
      </c>
      <c r="B42" s="8" t="s">
        <v>1464</v>
      </c>
      <c r="C42">
        <v>1</v>
      </c>
      <c r="D42" t="s">
        <v>156</v>
      </c>
      <c r="E42" s="2">
        <f>VLOOKUP(D42,Semaine_ref_trim!$C$1:$E$372,2,FALSE)</f>
        <v>46202</v>
      </c>
      <c r="F42" s="2">
        <f>VLOOKUP(D42,Semaine_ref_trim!$C$1:$E$372,3,FALSE)</f>
        <v>46208</v>
      </c>
    </row>
    <row r="43" spans="1:6" x14ac:dyDescent="0.35">
      <c r="A43" t="s">
        <v>155</v>
      </c>
      <c r="B43" s="8" t="s">
        <v>1464</v>
      </c>
      <c r="C43">
        <v>2</v>
      </c>
      <c r="D43" t="s">
        <v>157</v>
      </c>
      <c r="E43" s="2">
        <f>VLOOKUP(D43,Semaine_ref_trim!$C$1:$E$372,2,FALSE)</f>
        <v>46209</v>
      </c>
      <c r="F43" s="2">
        <f>VLOOKUP(D43,Semaine_ref_trim!$C$1:$E$372,3,FALSE)</f>
        <v>46215</v>
      </c>
    </row>
    <row r="44" spans="1:6" x14ac:dyDescent="0.35">
      <c r="A44" t="s">
        <v>155</v>
      </c>
      <c r="B44" s="8" t="s">
        <v>1464</v>
      </c>
      <c r="C44">
        <v>3</v>
      </c>
      <c r="D44" t="s">
        <v>158</v>
      </c>
      <c r="E44" s="2">
        <f>VLOOKUP(D44,Semaine_ref_trim!$C$1:$E$372,2,FALSE)</f>
        <v>46216</v>
      </c>
      <c r="F44" s="2">
        <f>VLOOKUP(D44,Semaine_ref_trim!$C$1:$E$372,3,FALSE)</f>
        <v>46222</v>
      </c>
    </row>
    <row r="45" spans="1:6" x14ac:dyDescent="0.35">
      <c r="A45" t="s">
        <v>155</v>
      </c>
      <c r="B45" s="8" t="s">
        <v>1464</v>
      </c>
      <c r="C45">
        <v>4</v>
      </c>
      <c r="D45" t="s">
        <v>159</v>
      </c>
      <c r="E45" s="2">
        <f>VLOOKUP(D45,Semaine_ref_trim!$C$1:$E$372,2,FALSE)</f>
        <v>46223</v>
      </c>
      <c r="F45" s="2">
        <f>VLOOKUP(D45,Semaine_ref_trim!$C$1:$E$372,3,FALSE)</f>
        <v>46229</v>
      </c>
    </row>
    <row r="46" spans="1:6" x14ac:dyDescent="0.35">
      <c r="A46" t="s">
        <v>155</v>
      </c>
      <c r="B46" s="8" t="s">
        <v>1464</v>
      </c>
      <c r="C46">
        <v>5</v>
      </c>
      <c r="D46" t="s">
        <v>160</v>
      </c>
      <c r="E46" s="2">
        <f>VLOOKUP(D46,Semaine_ref_trim!$C$1:$E$372,2,FALSE)</f>
        <v>46230</v>
      </c>
      <c r="F46" s="2">
        <f>VLOOKUP(D46,Semaine_ref_trim!$C$1:$E$372,3,FALSE)</f>
        <v>46236</v>
      </c>
    </row>
    <row r="47" spans="1:6" x14ac:dyDescent="0.35">
      <c r="A47" t="s">
        <v>155</v>
      </c>
      <c r="B47" s="8" t="s">
        <v>1464</v>
      </c>
      <c r="C47">
        <v>6</v>
      </c>
      <c r="D47" t="s">
        <v>161</v>
      </c>
      <c r="E47" s="2">
        <f>VLOOKUP(D47,Semaine_ref_trim!$C$1:$E$372,2,FALSE)</f>
        <v>46237</v>
      </c>
      <c r="F47" s="2">
        <f>VLOOKUP(D47,Semaine_ref_trim!$C$1:$E$372,3,FALSE)</f>
        <v>46243</v>
      </c>
    </row>
    <row r="48" spans="1:6" x14ac:dyDescent="0.35">
      <c r="A48" t="s">
        <v>155</v>
      </c>
      <c r="B48" s="8" t="s">
        <v>1464</v>
      </c>
      <c r="C48">
        <v>7</v>
      </c>
      <c r="D48" t="s">
        <v>162</v>
      </c>
      <c r="E48" s="2">
        <f>VLOOKUP(D48,Semaine_ref_trim!$C$1:$E$372,2,FALSE)</f>
        <v>46244</v>
      </c>
      <c r="F48" s="2">
        <f>VLOOKUP(D48,Semaine_ref_trim!$C$1:$E$372,3,FALSE)</f>
        <v>46250</v>
      </c>
    </row>
    <row r="49" spans="1:6" x14ac:dyDescent="0.35">
      <c r="A49" t="s">
        <v>155</v>
      </c>
      <c r="B49" s="8" t="s">
        <v>1464</v>
      </c>
      <c r="C49">
        <v>8</v>
      </c>
      <c r="D49" t="s">
        <v>163</v>
      </c>
      <c r="E49" s="2">
        <f>VLOOKUP(D49,Semaine_ref_trim!$C$1:$E$372,2,FALSE)</f>
        <v>46251</v>
      </c>
      <c r="F49" s="2">
        <f>VLOOKUP(D49,Semaine_ref_trim!$C$1:$E$372,3,FALSE)</f>
        <v>46257</v>
      </c>
    </row>
    <row r="50" spans="1:6" x14ac:dyDescent="0.35">
      <c r="A50" t="s">
        <v>155</v>
      </c>
      <c r="B50" s="8" t="s">
        <v>1464</v>
      </c>
      <c r="C50">
        <v>9</v>
      </c>
      <c r="D50" t="s">
        <v>164</v>
      </c>
      <c r="E50" s="2">
        <f>VLOOKUP(D50,Semaine_ref_trim!$C$1:$E$372,2,FALSE)</f>
        <v>46258</v>
      </c>
      <c r="F50" s="2">
        <f>VLOOKUP(D50,Semaine_ref_trim!$C$1:$E$372,3,FALSE)</f>
        <v>46264</v>
      </c>
    </row>
    <row r="51" spans="1:6" x14ac:dyDescent="0.35">
      <c r="A51" t="s">
        <v>155</v>
      </c>
      <c r="B51" s="8" t="s">
        <v>1464</v>
      </c>
      <c r="C51">
        <v>10</v>
      </c>
      <c r="D51" t="s">
        <v>165</v>
      </c>
      <c r="E51" s="2">
        <f>VLOOKUP(D51,Semaine_ref_trim!$C$1:$E$372,2,FALSE)</f>
        <v>46265</v>
      </c>
      <c r="F51" s="2">
        <f>VLOOKUP(D51,Semaine_ref_trim!$C$1:$E$372,3,FALSE)</f>
        <v>46271</v>
      </c>
    </row>
    <row r="52" spans="1:6" x14ac:dyDescent="0.35">
      <c r="A52" t="s">
        <v>155</v>
      </c>
      <c r="B52" s="8" t="s">
        <v>1464</v>
      </c>
      <c r="C52">
        <v>11</v>
      </c>
      <c r="D52" t="s">
        <v>166</v>
      </c>
      <c r="E52" s="2">
        <f>VLOOKUP(D52,Semaine_ref_trim!$C$1:$E$372,2,FALSE)</f>
        <v>46272</v>
      </c>
      <c r="F52" s="2">
        <f>VLOOKUP(D52,Semaine_ref_trim!$C$1:$E$372,3,FALSE)</f>
        <v>46278</v>
      </c>
    </row>
    <row r="53" spans="1:6" x14ac:dyDescent="0.35">
      <c r="A53" t="s">
        <v>155</v>
      </c>
      <c r="B53" s="8" t="s">
        <v>1464</v>
      </c>
      <c r="C53">
        <v>12</v>
      </c>
      <c r="D53" t="s">
        <v>167</v>
      </c>
      <c r="E53" s="2">
        <f>VLOOKUP(D53,Semaine_ref_trim!$C$1:$E$372,2,FALSE)</f>
        <v>46279</v>
      </c>
      <c r="F53" s="2">
        <f>VLOOKUP(D53,Semaine_ref_trim!$C$1:$E$372,3,FALSE)</f>
        <v>46285</v>
      </c>
    </row>
    <row r="54" spans="1:6" x14ac:dyDescent="0.35">
      <c r="A54" t="s">
        <v>155</v>
      </c>
      <c r="B54" s="8" t="s">
        <v>1464</v>
      </c>
      <c r="C54">
        <v>13</v>
      </c>
      <c r="D54" t="s">
        <v>168</v>
      </c>
      <c r="E54" s="2">
        <f>VLOOKUP(D54,Semaine_ref_trim!$C$1:$E$372,2,FALSE)</f>
        <v>46286</v>
      </c>
      <c r="F54" s="2">
        <f>VLOOKUP(D54,Semaine_ref_trim!$C$1:$E$372,3,FALSE)</f>
        <v>46292</v>
      </c>
    </row>
    <row r="55" spans="1:6" x14ac:dyDescent="0.35">
      <c r="A55" t="s">
        <v>155</v>
      </c>
      <c r="B55" s="8" t="s">
        <v>1466</v>
      </c>
      <c r="C55">
        <v>1</v>
      </c>
      <c r="D55" t="str">
        <f>D42</f>
        <v>Monday 29 June 2026</v>
      </c>
      <c r="E55" s="2">
        <f>VLOOKUP(D55,Semaine_ref_trim!$C$1:$E$372,2,FALSE)</f>
        <v>46202</v>
      </c>
      <c r="F55" s="2">
        <f>VLOOKUP(D55,Semaine_ref_trim!$C$1:$E$372,3,FALSE)</f>
        <v>46208</v>
      </c>
    </row>
    <row r="56" spans="1:6" x14ac:dyDescent="0.35">
      <c r="A56" t="s">
        <v>155</v>
      </c>
      <c r="B56" s="8" t="s">
        <v>1466</v>
      </c>
      <c r="C56">
        <v>2</v>
      </c>
      <c r="D56" t="str">
        <f>D44</f>
        <v>Monday 13 July 2026</v>
      </c>
      <c r="E56" s="2">
        <f>VLOOKUP(D56,Semaine_ref_trim!$C$1:$E$372,2,FALSE)</f>
        <v>46216</v>
      </c>
      <c r="F56" s="2">
        <f>VLOOKUP(D56,Semaine_ref_trim!$C$1:$E$372,3,FALSE)</f>
        <v>46222</v>
      </c>
    </row>
    <row r="57" spans="1:6" x14ac:dyDescent="0.35">
      <c r="A57" t="s">
        <v>155</v>
      </c>
      <c r="B57" s="8" t="s">
        <v>1466</v>
      </c>
      <c r="C57">
        <v>3</v>
      </c>
      <c r="D57" t="str">
        <f>D46</f>
        <v>Monday 27 July 2026</v>
      </c>
      <c r="E57" s="2">
        <f>VLOOKUP(D57,Semaine_ref_trim!$C$1:$E$372,2,FALSE)</f>
        <v>46230</v>
      </c>
      <c r="F57" s="2">
        <f>VLOOKUP(D57,Semaine_ref_trim!$C$1:$E$372,3,FALSE)</f>
        <v>46236</v>
      </c>
    </row>
    <row r="58" spans="1:6" x14ac:dyDescent="0.35">
      <c r="A58" t="s">
        <v>155</v>
      </c>
      <c r="B58" s="8" t="s">
        <v>1466</v>
      </c>
      <c r="C58">
        <v>4</v>
      </c>
      <c r="D58" t="str">
        <f>D48</f>
        <v>Monday 10 August 2026</v>
      </c>
      <c r="E58" s="2">
        <f>VLOOKUP(D58,Semaine_ref_trim!$C$1:$E$372,2,FALSE)</f>
        <v>46244</v>
      </c>
      <c r="F58" s="2">
        <f>VLOOKUP(D58,Semaine_ref_trim!$C$1:$E$372,3,FALSE)</f>
        <v>46250</v>
      </c>
    </row>
    <row r="59" spans="1:6" x14ac:dyDescent="0.35">
      <c r="A59" t="s">
        <v>155</v>
      </c>
      <c r="B59" s="8" t="s">
        <v>1466</v>
      </c>
      <c r="C59">
        <v>5</v>
      </c>
      <c r="D59" t="str">
        <f>D50</f>
        <v>Monday 24 August 2026</v>
      </c>
      <c r="E59" s="2">
        <f>VLOOKUP(D59,Semaine_ref_trim!$C$1:$E$372,2,FALSE)</f>
        <v>46258</v>
      </c>
      <c r="F59" s="2">
        <f>VLOOKUP(D59,Semaine_ref_trim!$C$1:$E$372,3,FALSE)</f>
        <v>46264</v>
      </c>
    </row>
    <row r="60" spans="1:6" x14ac:dyDescent="0.35">
      <c r="A60" t="s">
        <v>155</v>
      </c>
      <c r="B60" s="8" t="s">
        <v>1466</v>
      </c>
      <c r="C60">
        <v>6</v>
      </c>
      <c r="D60" t="str">
        <f>D52</f>
        <v>Monday 7 September 2026</v>
      </c>
      <c r="E60" s="2">
        <f>VLOOKUP(D60,Semaine_ref_trim!$C$1:$E$372,2,FALSE)</f>
        <v>46272</v>
      </c>
      <c r="F60" s="2">
        <f>VLOOKUP(D60,Semaine_ref_trim!$C$1:$E$372,3,FALSE)</f>
        <v>46278</v>
      </c>
    </row>
    <row r="61" spans="1:6" x14ac:dyDescent="0.35">
      <c r="A61" t="s">
        <v>155</v>
      </c>
      <c r="B61" s="8" t="s">
        <v>1466</v>
      </c>
      <c r="C61">
        <v>7</v>
      </c>
      <c r="D61" t="str">
        <f>D54</f>
        <v>Monday 21 September 2026</v>
      </c>
      <c r="E61" s="2">
        <f>VLOOKUP(D61,Semaine_ref_trim!$C$1:$E$372,2,FALSE)</f>
        <v>46286</v>
      </c>
      <c r="F61" s="2">
        <f>VLOOKUP(D61,Semaine_ref_trim!$C$1:$E$372,3,FALSE)</f>
        <v>46292</v>
      </c>
    </row>
    <row r="62" spans="1:6" x14ac:dyDescent="0.35">
      <c r="A62" t="s">
        <v>122</v>
      </c>
      <c r="B62" s="8" t="s">
        <v>1464</v>
      </c>
      <c r="C62">
        <v>1</v>
      </c>
      <c r="D62" t="s">
        <v>170</v>
      </c>
      <c r="E62" s="2">
        <f>VLOOKUP(D62,Semaine_ref_trim!$C$1:$E$372,2,FALSE)</f>
        <v>46293</v>
      </c>
      <c r="F62" s="2">
        <f>VLOOKUP(D62,Semaine_ref_trim!$C$1:$E$372,3,FALSE)</f>
        <v>46299</v>
      </c>
    </row>
    <row r="63" spans="1:6" x14ac:dyDescent="0.35">
      <c r="A63" t="s">
        <v>122</v>
      </c>
      <c r="B63" s="8" t="s">
        <v>1464</v>
      </c>
      <c r="C63">
        <v>2</v>
      </c>
      <c r="D63" t="s">
        <v>171</v>
      </c>
      <c r="E63" s="2">
        <f>VLOOKUP(D63,Semaine_ref_trim!$C$1:$E$372,2,FALSE)</f>
        <v>46300</v>
      </c>
      <c r="F63" s="2">
        <f>VLOOKUP(D63,Semaine_ref_trim!$C$1:$E$372,3,FALSE)</f>
        <v>46306</v>
      </c>
    </row>
    <row r="64" spans="1:6" x14ac:dyDescent="0.35">
      <c r="A64" t="s">
        <v>122</v>
      </c>
      <c r="B64" s="8" t="s">
        <v>1464</v>
      </c>
      <c r="C64">
        <v>3</v>
      </c>
      <c r="D64" t="s">
        <v>172</v>
      </c>
      <c r="E64" s="2">
        <f>VLOOKUP(D64,Semaine_ref_trim!$C$1:$E$372,2,FALSE)</f>
        <v>46307</v>
      </c>
      <c r="F64" s="2">
        <f>VLOOKUP(D64,Semaine_ref_trim!$C$1:$E$372,3,FALSE)</f>
        <v>46313</v>
      </c>
    </row>
    <row r="65" spans="1:6" x14ac:dyDescent="0.35">
      <c r="A65" t="s">
        <v>122</v>
      </c>
      <c r="B65" s="8" t="s">
        <v>1464</v>
      </c>
      <c r="C65">
        <v>4</v>
      </c>
      <c r="D65" t="s">
        <v>173</v>
      </c>
      <c r="E65" s="2">
        <f>VLOOKUP(D65,Semaine_ref_trim!$C$1:$E$372,2,FALSE)</f>
        <v>46314</v>
      </c>
      <c r="F65" s="2">
        <f>VLOOKUP(D65,Semaine_ref_trim!$C$1:$E$372,3,FALSE)</f>
        <v>46320</v>
      </c>
    </row>
    <row r="66" spans="1:6" x14ac:dyDescent="0.35">
      <c r="A66" t="s">
        <v>122</v>
      </c>
      <c r="B66" s="8" t="s">
        <v>1464</v>
      </c>
      <c r="C66">
        <v>5</v>
      </c>
      <c r="D66" t="s">
        <v>174</v>
      </c>
      <c r="E66" s="2">
        <f>VLOOKUP(D66,Semaine_ref_trim!$C$1:$E$372,2,FALSE)</f>
        <v>46321</v>
      </c>
      <c r="F66" s="2">
        <f>VLOOKUP(D66,Semaine_ref_trim!$C$1:$E$372,3,FALSE)</f>
        <v>46327</v>
      </c>
    </row>
    <row r="67" spans="1:6" x14ac:dyDescent="0.35">
      <c r="A67" t="s">
        <v>122</v>
      </c>
      <c r="B67" s="8" t="s">
        <v>1464</v>
      </c>
      <c r="C67">
        <v>6</v>
      </c>
      <c r="D67" t="s">
        <v>175</v>
      </c>
      <c r="E67" s="2">
        <f>VLOOKUP(D67,Semaine_ref_trim!$C$1:$E$372,2,FALSE)</f>
        <v>46328</v>
      </c>
      <c r="F67" s="2">
        <f>VLOOKUP(D67,Semaine_ref_trim!$C$1:$E$372,3,FALSE)</f>
        <v>46334</v>
      </c>
    </row>
    <row r="68" spans="1:6" x14ac:dyDescent="0.35">
      <c r="A68" t="s">
        <v>122</v>
      </c>
      <c r="B68" s="8" t="s">
        <v>1464</v>
      </c>
      <c r="C68">
        <v>7</v>
      </c>
      <c r="D68" t="s">
        <v>176</v>
      </c>
      <c r="E68" s="2">
        <f>VLOOKUP(D68,Semaine_ref_trim!$C$1:$E$372,2,FALSE)</f>
        <v>46335</v>
      </c>
      <c r="F68" s="2">
        <f>VLOOKUP(D68,Semaine_ref_trim!$C$1:$E$372,3,FALSE)</f>
        <v>46341</v>
      </c>
    </row>
    <row r="69" spans="1:6" x14ac:dyDescent="0.35">
      <c r="A69" t="s">
        <v>122</v>
      </c>
      <c r="B69" s="8" t="s">
        <v>1464</v>
      </c>
      <c r="C69">
        <v>8</v>
      </c>
      <c r="D69" t="s">
        <v>177</v>
      </c>
      <c r="E69" s="2">
        <f>VLOOKUP(D69,Semaine_ref_trim!$C$1:$E$372,2,FALSE)</f>
        <v>46342</v>
      </c>
      <c r="F69" s="2">
        <f>VLOOKUP(D69,Semaine_ref_trim!$C$1:$E$372,3,FALSE)</f>
        <v>46348</v>
      </c>
    </row>
    <row r="70" spans="1:6" x14ac:dyDescent="0.35">
      <c r="A70" t="s">
        <v>122</v>
      </c>
      <c r="B70" s="8" t="s">
        <v>1464</v>
      </c>
      <c r="C70">
        <v>9</v>
      </c>
      <c r="D70" t="s">
        <v>178</v>
      </c>
      <c r="E70" s="2">
        <f>VLOOKUP(D70,Semaine_ref_trim!$C$1:$E$372,2,FALSE)</f>
        <v>46349</v>
      </c>
      <c r="F70" s="2">
        <f>VLOOKUP(D70,Semaine_ref_trim!$C$1:$E$372,3,FALSE)</f>
        <v>46355</v>
      </c>
    </row>
    <row r="71" spans="1:6" x14ac:dyDescent="0.35">
      <c r="A71" t="s">
        <v>122</v>
      </c>
      <c r="B71" s="8" t="s">
        <v>1464</v>
      </c>
      <c r="C71">
        <v>10</v>
      </c>
      <c r="D71" t="s">
        <v>179</v>
      </c>
      <c r="E71" s="2">
        <f>VLOOKUP(D71,Semaine_ref_trim!$C$1:$E$372,2,FALSE)</f>
        <v>46356</v>
      </c>
      <c r="F71" s="2">
        <f>VLOOKUP(D71,Semaine_ref_trim!$C$1:$E$372,3,FALSE)</f>
        <v>46362</v>
      </c>
    </row>
    <row r="72" spans="1:6" x14ac:dyDescent="0.35">
      <c r="A72" t="s">
        <v>122</v>
      </c>
      <c r="B72" s="8" t="s">
        <v>1464</v>
      </c>
      <c r="C72">
        <v>11</v>
      </c>
      <c r="D72" t="s">
        <v>180</v>
      </c>
      <c r="E72" s="2">
        <f>VLOOKUP(D72,Semaine_ref_trim!$C$1:$E$372,2,FALSE)</f>
        <v>46363</v>
      </c>
      <c r="F72" s="2">
        <f>VLOOKUP(D72,Semaine_ref_trim!$C$1:$E$372,3,FALSE)</f>
        <v>46369</v>
      </c>
    </row>
    <row r="73" spans="1:6" x14ac:dyDescent="0.35">
      <c r="A73" t="s">
        <v>122</v>
      </c>
      <c r="B73" s="8" t="s">
        <v>1464</v>
      </c>
      <c r="C73">
        <v>12</v>
      </c>
      <c r="D73" t="s">
        <v>181</v>
      </c>
      <c r="E73" s="2">
        <f>VLOOKUP(D73,Semaine_ref_trim!$C$1:$E$372,2,FALSE)</f>
        <v>46370</v>
      </c>
      <c r="F73" s="2">
        <f>VLOOKUP(D73,Semaine_ref_trim!$C$1:$E$372,3,FALSE)</f>
        <v>46376</v>
      </c>
    </row>
    <row r="74" spans="1:6" x14ac:dyDescent="0.35">
      <c r="A74" t="s">
        <v>122</v>
      </c>
      <c r="B74" s="8" t="s">
        <v>1464</v>
      </c>
      <c r="C74">
        <v>13</v>
      </c>
      <c r="D74" t="s">
        <v>182</v>
      </c>
      <c r="E74" s="2">
        <f>VLOOKUP(D74,Semaine_ref_trim!$C$1:$E$372,2,FALSE)</f>
        <v>46377</v>
      </c>
      <c r="F74" s="2">
        <f>VLOOKUP(D74,Semaine_ref_trim!$C$1:$E$372,3,FALSE)</f>
        <v>46383</v>
      </c>
    </row>
    <row r="75" spans="1:6" x14ac:dyDescent="0.35">
      <c r="A75" t="s">
        <v>122</v>
      </c>
      <c r="B75" s="8" t="s">
        <v>1466</v>
      </c>
      <c r="C75">
        <v>1</v>
      </c>
      <c r="D75" t="str">
        <f>D62</f>
        <v>Monday 28 September 2026</v>
      </c>
      <c r="E75" s="2">
        <f>VLOOKUP(D75,Semaine_ref_trim!$C$1:$E$372,2,FALSE)</f>
        <v>46293</v>
      </c>
      <c r="F75" s="2">
        <f>VLOOKUP(D75,Semaine_ref_trim!$C$1:$E$372,3,FALSE)</f>
        <v>46299</v>
      </c>
    </row>
    <row r="76" spans="1:6" x14ac:dyDescent="0.35">
      <c r="A76" t="s">
        <v>122</v>
      </c>
      <c r="B76" s="8" t="s">
        <v>1466</v>
      </c>
      <c r="C76">
        <v>2</v>
      </c>
      <c r="D76" t="str">
        <f>D64</f>
        <v>Monday 12 October 2026</v>
      </c>
      <c r="E76" s="2">
        <f>VLOOKUP(D76,Semaine_ref_trim!$C$1:$E$372,2,FALSE)</f>
        <v>46307</v>
      </c>
      <c r="F76" s="2">
        <f>VLOOKUP(D76,Semaine_ref_trim!$C$1:$E$372,3,FALSE)</f>
        <v>46313</v>
      </c>
    </row>
    <row r="77" spans="1:6" x14ac:dyDescent="0.35">
      <c r="A77" t="s">
        <v>122</v>
      </c>
      <c r="B77" s="8" t="s">
        <v>1466</v>
      </c>
      <c r="C77">
        <v>3</v>
      </c>
      <c r="D77" t="str">
        <f>D66</f>
        <v>Monday 26 October 2026</v>
      </c>
      <c r="E77" s="2">
        <f>VLOOKUP(D77,Semaine_ref_trim!$C$1:$E$372,2,FALSE)</f>
        <v>46321</v>
      </c>
      <c r="F77" s="2">
        <f>VLOOKUP(D77,Semaine_ref_trim!$C$1:$E$372,3,FALSE)</f>
        <v>46327</v>
      </c>
    </row>
    <row r="78" spans="1:6" x14ac:dyDescent="0.35">
      <c r="A78" t="s">
        <v>122</v>
      </c>
      <c r="B78" s="8" t="s">
        <v>1466</v>
      </c>
      <c r="C78">
        <v>4</v>
      </c>
      <c r="D78" t="str">
        <f>D68</f>
        <v>Monday 9 November 2026</v>
      </c>
      <c r="E78" s="2">
        <f>VLOOKUP(D78,Semaine_ref_trim!$C$1:$E$372,2,FALSE)</f>
        <v>46335</v>
      </c>
      <c r="F78" s="2">
        <f>VLOOKUP(D78,Semaine_ref_trim!$C$1:$E$372,3,FALSE)</f>
        <v>46341</v>
      </c>
    </row>
    <row r="79" spans="1:6" x14ac:dyDescent="0.35">
      <c r="A79" t="s">
        <v>122</v>
      </c>
      <c r="B79" s="8" t="s">
        <v>1466</v>
      </c>
      <c r="C79">
        <v>5</v>
      </c>
      <c r="D79" t="str">
        <f>D70</f>
        <v>Monday 23 November 2026</v>
      </c>
      <c r="E79" s="2">
        <f>VLOOKUP(D79,Semaine_ref_trim!$C$1:$E$372,2,FALSE)</f>
        <v>46349</v>
      </c>
      <c r="F79" s="2">
        <f>VLOOKUP(D79,Semaine_ref_trim!$C$1:$E$372,3,FALSE)</f>
        <v>46355</v>
      </c>
    </row>
    <row r="80" spans="1:6" x14ac:dyDescent="0.35">
      <c r="A80" t="s">
        <v>122</v>
      </c>
      <c r="B80" s="8" t="s">
        <v>1466</v>
      </c>
      <c r="C80">
        <v>6</v>
      </c>
      <c r="D80" t="str">
        <f>D72</f>
        <v>Monday 7 December 2026</v>
      </c>
      <c r="E80" s="2">
        <f>VLOOKUP(D80,Semaine_ref_trim!$C$1:$E$372,2,FALSE)</f>
        <v>46363</v>
      </c>
      <c r="F80" s="2">
        <f>VLOOKUP(D80,Semaine_ref_trim!$C$1:$E$372,3,FALSE)</f>
        <v>46369</v>
      </c>
    </row>
    <row r="81" spans="1:6" x14ac:dyDescent="0.35">
      <c r="A81" t="s">
        <v>122</v>
      </c>
      <c r="B81" s="8" t="s">
        <v>1466</v>
      </c>
      <c r="C81">
        <v>7</v>
      </c>
      <c r="D81" t="str">
        <f>D74</f>
        <v>Monday 21 December 2026</v>
      </c>
      <c r="E81" s="2">
        <f>VLOOKUP(D81,Semaine_ref_trim!$C$1:$E$372,2,FALSE)</f>
        <v>46377</v>
      </c>
      <c r="F81" s="2">
        <f>VLOOKUP(D81,Semaine_ref_trim!$C$1:$E$372,3,FALSE)</f>
        <v>46383</v>
      </c>
    </row>
    <row r="82" spans="1:6" x14ac:dyDescent="0.35">
      <c r="A82" t="s">
        <v>138</v>
      </c>
      <c r="B82" s="8" t="s">
        <v>1464</v>
      </c>
      <c r="C82">
        <v>1</v>
      </c>
      <c r="D82" t="s">
        <v>183</v>
      </c>
      <c r="E82" s="2">
        <f>VLOOKUP(D82,Semaine_ref_trim!$C$1:$E$372,2,FALSE)</f>
        <v>46384</v>
      </c>
      <c r="F82" s="2">
        <f>VLOOKUP(D82,Semaine_ref_trim!$C$1:$E$372,3,FALSE)</f>
        <v>46390</v>
      </c>
    </row>
    <row r="83" spans="1:6" x14ac:dyDescent="0.35">
      <c r="A83" t="s">
        <v>138</v>
      </c>
      <c r="B83" s="8" t="s">
        <v>1464</v>
      </c>
      <c r="C83">
        <v>2</v>
      </c>
      <c r="D83" t="s">
        <v>184</v>
      </c>
      <c r="E83" s="2">
        <f>VLOOKUP(D83,Semaine_ref_trim!$C$1:$E$372,2,FALSE)</f>
        <v>46391</v>
      </c>
      <c r="F83" s="2">
        <f>VLOOKUP(D83,Semaine_ref_trim!$C$1:$E$372,3,FALSE)</f>
        <v>46397</v>
      </c>
    </row>
    <row r="84" spans="1:6" x14ac:dyDescent="0.35">
      <c r="A84" t="s">
        <v>138</v>
      </c>
      <c r="B84" s="8" t="s">
        <v>1464</v>
      </c>
      <c r="C84">
        <v>3</v>
      </c>
      <c r="D84" t="s">
        <v>185</v>
      </c>
      <c r="E84" s="2">
        <f>VLOOKUP(D84,Semaine_ref_trim!$C$1:$E$372,2,FALSE)</f>
        <v>46398</v>
      </c>
      <c r="F84" s="2">
        <f>VLOOKUP(D84,Semaine_ref_trim!$C$1:$E$372,3,FALSE)</f>
        <v>46404</v>
      </c>
    </row>
    <row r="85" spans="1:6" x14ac:dyDescent="0.35">
      <c r="A85" t="s">
        <v>138</v>
      </c>
      <c r="B85" s="8" t="s">
        <v>1464</v>
      </c>
      <c r="C85">
        <v>4</v>
      </c>
      <c r="D85" t="s">
        <v>186</v>
      </c>
      <c r="E85" s="2">
        <f>VLOOKUP(D85,Semaine_ref_trim!$C$1:$E$372,2,FALSE)</f>
        <v>46405</v>
      </c>
      <c r="F85" s="2">
        <f>VLOOKUP(D85,Semaine_ref_trim!$C$1:$E$372,3,FALSE)</f>
        <v>46411</v>
      </c>
    </row>
    <row r="86" spans="1:6" x14ac:dyDescent="0.35">
      <c r="A86" t="s">
        <v>138</v>
      </c>
      <c r="B86" s="8" t="s">
        <v>1464</v>
      </c>
      <c r="C86">
        <v>5</v>
      </c>
      <c r="D86" t="s">
        <v>187</v>
      </c>
      <c r="E86" s="2">
        <f>VLOOKUP(D86,Semaine_ref_trim!$C$1:$E$372,2,FALSE)</f>
        <v>46412</v>
      </c>
      <c r="F86" s="2">
        <f>VLOOKUP(D86,Semaine_ref_trim!$C$1:$E$372,3,FALSE)</f>
        <v>46418</v>
      </c>
    </row>
    <row r="87" spans="1:6" x14ac:dyDescent="0.35">
      <c r="A87" t="s">
        <v>138</v>
      </c>
      <c r="B87" s="8" t="s">
        <v>1464</v>
      </c>
      <c r="C87">
        <v>6</v>
      </c>
      <c r="D87" t="s">
        <v>188</v>
      </c>
      <c r="E87" s="2">
        <f>VLOOKUP(D87,Semaine_ref_trim!$C$1:$E$372,2,FALSE)</f>
        <v>46419</v>
      </c>
      <c r="F87" s="2">
        <f>VLOOKUP(D87,Semaine_ref_trim!$C$1:$E$372,3,FALSE)</f>
        <v>46425</v>
      </c>
    </row>
    <row r="88" spans="1:6" x14ac:dyDescent="0.35">
      <c r="A88" t="s">
        <v>138</v>
      </c>
      <c r="B88" s="8" t="s">
        <v>1464</v>
      </c>
      <c r="C88">
        <v>7</v>
      </c>
      <c r="D88" t="s">
        <v>189</v>
      </c>
      <c r="E88" s="2">
        <f>VLOOKUP(D88,Semaine_ref_trim!$C$1:$E$372,2,FALSE)</f>
        <v>46426</v>
      </c>
      <c r="F88" s="2">
        <f>VLOOKUP(D88,Semaine_ref_trim!$C$1:$E$372,3,FALSE)</f>
        <v>46432</v>
      </c>
    </row>
    <row r="89" spans="1:6" x14ac:dyDescent="0.35">
      <c r="A89" t="s">
        <v>138</v>
      </c>
      <c r="B89" s="8" t="s">
        <v>1464</v>
      </c>
      <c r="C89">
        <v>8</v>
      </c>
      <c r="D89" t="s">
        <v>190</v>
      </c>
      <c r="E89" s="2">
        <f>VLOOKUP(D89,Semaine_ref_trim!$C$1:$E$372,2,FALSE)</f>
        <v>46433</v>
      </c>
      <c r="F89" s="2">
        <f>VLOOKUP(D89,Semaine_ref_trim!$C$1:$E$372,3,FALSE)</f>
        <v>46439</v>
      </c>
    </row>
    <row r="90" spans="1:6" x14ac:dyDescent="0.35">
      <c r="A90" t="s">
        <v>138</v>
      </c>
      <c r="B90" s="8" t="s">
        <v>1464</v>
      </c>
      <c r="C90">
        <v>9</v>
      </c>
      <c r="D90" t="s">
        <v>191</v>
      </c>
      <c r="E90" s="2">
        <f>VLOOKUP(D90,Semaine_ref_trim!$C$1:$E$372,2,FALSE)</f>
        <v>46440</v>
      </c>
      <c r="F90" s="2">
        <f>VLOOKUP(D90,Semaine_ref_trim!$C$1:$E$372,3,FALSE)</f>
        <v>46446</v>
      </c>
    </row>
    <row r="91" spans="1:6" x14ac:dyDescent="0.35">
      <c r="A91" t="s">
        <v>138</v>
      </c>
      <c r="B91" s="8" t="s">
        <v>1464</v>
      </c>
      <c r="C91">
        <v>10</v>
      </c>
      <c r="D91" t="s">
        <v>192</v>
      </c>
      <c r="E91" s="2">
        <f>VLOOKUP(D91,Semaine_ref_trim!$C$1:$E$372,2,FALSE)</f>
        <v>46447</v>
      </c>
      <c r="F91" s="2">
        <f>VLOOKUP(D91,Semaine_ref_trim!$C$1:$E$372,3,FALSE)</f>
        <v>46453</v>
      </c>
    </row>
    <row r="92" spans="1:6" x14ac:dyDescent="0.35">
      <c r="A92" t="s">
        <v>138</v>
      </c>
      <c r="B92" s="8" t="s">
        <v>1464</v>
      </c>
      <c r="C92">
        <v>11</v>
      </c>
      <c r="D92" t="s">
        <v>193</v>
      </c>
      <c r="E92" s="2">
        <f>VLOOKUP(D92,Semaine_ref_trim!$C$1:$E$372,2,FALSE)</f>
        <v>46454</v>
      </c>
      <c r="F92" s="2">
        <f>VLOOKUP(D92,Semaine_ref_trim!$C$1:$E$372,3,FALSE)</f>
        <v>46460</v>
      </c>
    </row>
    <row r="93" spans="1:6" x14ac:dyDescent="0.35">
      <c r="A93" t="s">
        <v>138</v>
      </c>
      <c r="B93" s="8" t="s">
        <v>1464</v>
      </c>
      <c r="C93">
        <v>12</v>
      </c>
      <c r="D93" t="s">
        <v>194</v>
      </c>
      <c r="E93" s="2">
        <f>VLOOKUP(D93,Semaine_ref_trim!$C$1:$E$372,2,FALSE)</f>
        <v>46461</v>
      </c>
      <c r="F93" s="2">
        <f>VLOOKUP(D93,Semaine_ref_trim!$C$1:$E$372,3,FALSE)</f>
        <v>46467</v>
      </c>
    </row>
    <row r="94" spans="1:6" x14ac:dyDescent="0.35">
      <c r="A94" t="s">
        <v>138</v>
      </c>
      <c r="B94" s="8" t="s">
        <v>1464</v>
      </c>
      <c r="C94">
        <v>13</v>
      </c>
      <c r="D94" t="s">
        <v>195</v>
      </c>
      <c r="E94" s="2">
        <f>VLOOKUP(D94,Semaine_ref_trim!$C$1:$E$372,2,FALSE)</f>
        <v>46468</v>
      </c>
      <c r="F94" s="2">
        <f>VLOOKUP(D94,Semaine_ref_trim!$C$1:$E$372,3,FALSE)</f>
        <v>46474</v>
      </c>
    </row>
    <row r="95" spans="1:6" x14ac:dyDescent="0.35">
      <c r="A95" t="s">
        <v>138</v>
      </c>
      <c r="B95" s="8" t="s">
        <v>1466</v>
      </c>
      <c r="C95">
        <v>1</v>
      </c>
      <c r="D95" t="str">
        <f>D82</f>
        <v>Monday 28 December 2026</v>
      </c>
      <c r="E95" s="2">
        <f>VLOOKUP(D95,Semaine_ref_trim!$C$1:$E$372,2,FALSE)</f>
        <v>46384</v>
      </c>
      <c r="F95" s="2">
        <f>VLOOKUP(D95,Semaine_ref_trim!$C$1:$E$372,3,FALSE)</f>
        <v>46390</v>
      </c>
    </row>
    <row r="96" spans="1:6" x14ac:dyDescent="0.35">
      <c r="A96" t="s">
        <v>138</v>
      </c>
      <c r="B96" s="8" t="s">
        <v>1466</v>
      </c>
      <c r="C96">
        <v>2</v>
      </c>
      <c r="D96" t="str">
        <f>D84</f>
        <v>Monday 11 January 2027</v>
      </c>
      <c r="E96" s="2">
        <f>VLOOKUP(D96,Semaine_ref_trim!$C$1:$E$372,2,FALSE)</f>
        <v>46398</v>
      </c>
      <c r="F96" s="2">
        <f>VLOOKUP(D96,Semaine_ref_trim!$C$1:$E$372,3,FALSE)</f>
        <v>46404</v>
      </c>
    </row>
    <row r="97" spans="1:6" x14ac:dyDescent="0.35">
      <c r="A97" t="s">
        <v>138</v>
      </c>
      <c r="B97" s="8" t="s">
        <v>1466</v>
      </c>
      <c r="C97">
        <v>3</v>
      </c>
      <c r="D97" t="str">
        <f>D86</f>
        <v>Monday 25 January 2027</v>
      </c>
      <c r="E97" s="2">
        <f>VLOOKUP(D97,Semaine_ref_trim!$C$1:$E$372,2,FALSE)</f>
        <v>46412</v>
      </c>
      <c r="F97" s="2">
        <f>VLOOKUP(D97,Semaine_ref_trim!$C$1:$E$372,3,FALSE)</f>
        <v>46418</v>
      </c>
    </row>
    <row r="98" spans="1:6" x14ac:dyDescent="0.35">
      <c r="A98" t="s">
        <v>138</v>
      </c>
      <c r="B98" s="8" t="s">
        <v>1466</v>
      </c>
      <c r="C98">
        <v>4</v>
      </c>
      <c r="D98" t="str">
        <f>D88</f>
        <v>Monday 8 February 2027</v>
      </c>
      <c r="E98" s="2">
        <f>VLOOKUP(D98,Semaine_ref_trim!$C$1:$E$372,2,FALSE)</f>
        <v>46426</v>
      </c>
      <c r="F98" s="2">
        <f>VLOOKUP(D98,Semaine_ref_trim!$C$1:$E$372,3,FALSE)</f>
        <v>46432</v>
      </c>
    </row>
    <row r="99" spans="1:6" x14ac:dyDescent="0.35">
      <c r="A99" t="s">
        <v>138</v>
      </c>
      <c r="B99" s="8" t="s">
        <v>1466</v>
      </c>
      <c r="C99">
        <v>5</v>
      </c>
      <c r="D99" t="str">
        <f>D90</f>
        <v>Monday 22 February 2027</v>
      </c>
      <c r="E99" s="2">
        <f>VLOOKUP(D99,Semaine_ref_trim!$C$1:$E$372,2,FALSE)</f>
        <v>46440</v>
      </c>
      <c r="F99" s="2">
        <f>VLOOKUP(D99,Semaine_ref_trim!$C$1:$E$372,3,FALSE)</f>
        <v>46446</v>
      </c>
    </row>
    <row r="100" spans="1:6" x14ac:dyDescent="0.35">
      <c r="A100" t="s">
        <v>138</v>
      </c>
      <c r="B100" s="8" t="s">
        <v>1466</v>
      </c>
      <c r="C100">
        <v>6</v>
      </c>
      <c r="D100" t="str">
        <f>D92</f>
        <v>Monday 8 March 2027</v>
      </c>
      <c r="E100" s="2">
        <f>VLOOKUP(D100,Semaine_ref_trim!$C$1:$E$372,2,FALSE)</f>
        <v>46454</v>
      </c>
      <c r="F100" s="2">
        <f>VLOOKUP(D100,Semaine_ref_trim!$C$1:$E$372,3,FALSE)</f>
        <v>46460</v>
      </c>
    </row>
    <row r="101" spans="1:6" x14ac:dyDescent="0.35">
      <c r="A101" t="s">
        <v>138</v>
      </c>
      <c r="B101" s="8" t="s">
        <v>1466</v>
      </c>
      <c r="C101">
        <v>7</v>
      </c>
      <c r="D101" t="str">
        <f>D94</f>
        <v>Monday 22 March 2027</v>
      </c>
      <c r="E101" s="2">
        <f>VLOOKUP(D101,Semaine_ref_trim!$C$1:$E$372,2,FALSE)</f>
        <v>46468</v>
      </c>
      <c r="F101" s="2">
        <f>VLOOKUP(D101,Semaine_ref_trim!$C$1:$E$372,3,FALSE)</f>
        <v>46474</v>
      </c>
    </row>
    <row r="102" spans="1:6" x14ac:dyDescent="0.35">
      <c r="A102" t="s">
        <v>154</v>
      </c>
      <c r="B102" s="8" t="s">
        <v>1464</v>
      </c>
      <c r="C102">
        <v>1</v>
      </c>
      <c r="D102" t="s">
        <v>196</v>
      </c>
      <c r="E102" s="2">
        <f>VLOOKUP(D102,Semaine_ref_trim!$C$1:$E$372,2,FALSE)</f>
        <v>46475</v>
      </c>
      <c r="F102" s="2">
        <f>VLOOKUP(D102,Semaine_ref_trim!$C$1:$E$372,3,FALSE)</f>
        <v>46481</v>
      </c>
    </row>
    <row r="103" spans="1:6" x14ac:dyDescent="0.35">
      <c r="A103" t="s">
        <v>154</v>
      </c>
      <c r="B103" s="8" t="s">
        <v>1464</v>
      </c>
      <c r="C103">
        <v>2</v>
      </c>
      <c r="D103" t="s">
        <v>197</v>
      </c>
      <c r="E103" s="2">
        <f>VLOOKUP(D103,Semaine_ref_trim!$C$1:$E$372,2,FALSE)</f>
        <v>46482</v>
      </c>
      <c r="F103" s="2">
        <f>VLOOKUP(D103,Semaine_ref_trim!$C$1:$E$372,3,FALSE)</f>
        <v>46488</v>
      </c>
    </row>
    <row r="104" spans="1:6" x14ac:dyDescent="0.35">
      <c r="A104" t="s">
        <v>154</v>
      </c>
      <c r="B104" s="8" t="s">
        <v>1464</v>
      </c>
      <c r="C104">
        <v>3</v>
      </c>
      <c r="D104" t="s">
        <v>198</v>
      </c>
      <c r="E104" s="2">
        <f>VLOOKUP(D104,Semaine_ref_trim!$C$1:$E$372,2,FALSE)</f>
        <v>46489</v>
      </c>
      <c r="F104" s="2">
        <f>VLOOKUP(D104,Semaine_ref_trim!$C$1:$E$372,3,FALSE)</f>
        <v>46495</v>
      </c>
    </row>
    <row r="105" spans="1:6" x14ac:dyDescent="0.35">
      <c r="A105" t="s">
        <v>154</v>
      </c>
      <c r="B105" s="8" t="s">
        <v>1464</v>
      </c>
      <c r="C105">
        <v>4</v>
      </c>
      <c r="D105" t="s">
        <v>199</v>
      </c>
      <c r="E105" s="2">
        <f>VLOOKUP(D105,Semaine_ref_trim!$C$1:$E$372,2,FALSE)</f>
        <v>46496</v>
      </c>
      <c r="F105" s="2">
        <f>VLOOKUP(D105,Semaine_ref_trim!$C$1:$E$372,3,FALSE)</f>
        <v>46502</v>
      </c>
    </row>
    <row r="106" spans="1:6" x14ac:dyDescent="0.35">
      <c r="A106" t="s">
        <v>154</v>
      </c>
      <c r="B106" s="8" t="s">
        <v>1464</v>
      </c>
      <c r="C106">
        <v>5</v>
      </c>
      <c r="D106" t="s">
        <v>200</v>
      </c>
      <c r="E106" s="2">
        <f>VLOOKUP(D106,Semaine_ref_trim!$C$1:$E$372,2,FALSE)</f>
        <v>46503</v>
      </c>
      <c r="F106" s="2">
        <f>VLOOKUP(D106,Semaine_ref_trim!$C$1:$E$372,3,FALSE)</f>
        <v>46509</v>
      </c>
    </row>
    <row r="107" spans="1:6" x14ac:dyDescent="0.35">
      <c r="A107" t="s">
        <v>154</v>
      </c>
      <c r="B107" s="8" t="s">
        <v>1464</v>
      </c>
      <c r="C107">
        <v>6</v>
      </c>
      <c r="D107" t="s">
        <v>201</v>
      </c>
      <c r="E107" s="2">
        <f>VLOOKUP(D107,Semaine_ref_trim!$C$1:$E$372,2,FALSE)</f>
        <v>46510</v>
      </c>
      <c r="F107" s="2">
        <f>VLOOKUP(D107,Semaine_ref_trim!$C$1:$E$372,3,FALSE)</f>
        <v>46516</v>
      </c>
    </row>
    <row r="108" spans="1:6" x14ac:dyDescent="0.35">
      <c r="A108" t="s">
        <v>154</v>
      </c>
      <c r="B108" s="8" t="s">
        <v>1464</v>
      </c>
      <c r="C108">
        <v>7</v>
      </c>
      <c r="D108" t="s">
        <v>202</v>
      </c>
      <c r="E108" s="2">
        <f>VLOOKUP(D108,Semaine_ref_trim!$C$1:$E$372,2,FALSE)</f>
        <v>46517</v>
      </c>
      <c r="F108" s="2">
        <f>VLOOKUP(D108,Semaine_ref_trim!$C$1:$E$372,3,FALSE)</f>
        <v>46523</v>
      </c>
    </row>
    <row r="109" spans="1:6" x14ac:dyDescent="0.35">
      <c r="A109" t="s">
        <v>154</v>
      </c>
      <c r="B109" s="8" t="s">
        <v>1464</v>
      </c>
      <c r="C109">
        <v>8</v>
      </c>
      <c r="D109" t="s">
        <v>203</v>
      </c>
      <c r="E109" s="2">
        <f>VLOOKUP(D109,Semaine_ref_trim!$C$1:$E$372,2,FALSE)</f>
        <v>46524</v>
      </c>
      <c r="F109" s="2">
        <f>VLOOKUP(D109,Semaine_ref_trim!$C$1:$E$372,3,FALSE)</f>
        <v>46530</v>
      </c>
    </row>
    <row r="110" spans="1:6" x14ac:dyDescent="0.35">
      <c r="A110" t="s">
        <v>154</v>
      </c>
      <c r="B110" s="8" t="s">
        <v>1464</v>
      </c>
      <c r="C110">
        <v>9</v>
      </c>
      <c r="D110" t="s">
        <v>204</v>
      </c>
      <c r="E110" s="2">
        <f>VLOOKUP(D110,Semaine_ref_trim!$C$1:$E$372,2,FALSE)</f>
        <v>46531</v>
      </c>
      <c r="F110" s="2">
        <f>VLOOKUP(D110,Semaine_ref_trim!$C$1:$E$372,3,FALSE)</f>
        <v>46537</v>
      </c>
    </row>
    <row r="111" spans="1:6" x14ac:dyDescent="0.35">
      <c r="A111" t="s">
        <v>154</v>
      </c>
      <c r="B111" s="8" t="s">
        <v>1464</v>
      </c>
      <c r="C111">
        <v>10</v>
      </c>
      <c r="D111" t="s">
        <v>205</v>
      </c>
      <c r="E111" s="2">
        <f>VLOOKUP(D111,Semaine_ref_trim!$C$1:$E$372,2,FALSE)</f>
        <v>46538</v>
      </c>
      <c r="F111" s="2">
        <f>VLOOKUP(D111,Semaine_ref_trim!$C$1:$E$372,3,FALSE)</f>
        <v>46544</v>
      </c>
    </row>
    <row r="112" spans="1:6" x14ac:dyDescent="0.35">
      <c r="A112" t="s">
        <v>154</v>
      </c>
      <c r="B112" s="8" t="s">
        <v>1464</v>
      </c>
      <c r="C112">
        <v>11</v>
      </c>
      <c r="D112" t="s">
        <v>206</v>
      </c>
      <c r="E112" s="2">
        <f>VLOOKUP(D112,Semaine_ref_trim!$C$1:$E$372,2,FALSE)</f>
        <v>46545</v>
      </c>
      <c r="F112" s="2">
        <f>VLOOKUP(D112,Semaine_ref_trim!$C$1:$E$372,3,FALSE)</f>
        <v>46551</v>
      </c>
    </row>
    <row r="113" spans="1:6" x14ac:dyDescent="0.35">
      <c r="A113" t="s">
        <v>154</v>
      </c>
      <c r="B113" s="8" t="s">
        <v>1464</v>
      </c>
      <c r="C113">
        <v>12</v>
      </c>
      <c r="D113" t="s">
        <v>207</v>
      </c>
      <c r="E113" s="2">
        <f>VLOOKUP(D113,Semaine_ref_trim!$C$1:$E$372,2,FALSE)</f>
        <v>46552</v>
      </c>
      <c r="F113" s="2">
        <f>VLOOKUP(D113,Semaine_ref_trim!$C$1:$E$372,3,FALSE)</f>
        <v>46558</v>
      </c>
    </row>
    <row r="114" spans="1:6" x14ac:dyDescent="0.35">
      <c r="A114" t="s">
        <v>154</v>
      </c>
      <c r="B114" s="8" t="s">
        <v>1464</v>
      </c>
      <c r="C114">
        <v>13</v>
      </c>
      <c r="D114" t="s">
        <v>208</v>
      </c>
      <c r="E114" s="2">
        <f>VLOOKUP(D114,Semaine_ref_trim!$C$1:$E$372,2,FALSE)</f>
        <v>46559</v>
      </c>
      <c r="F114" s="2">
        <f>VLOOKUP(D114,Semaine_ref_trim!$C$1:$E$372,3,FALSE)</f>
        <v>46565</v>
      </c>
    </row>
    <row r="115" spans="1:6" x14ac:dyDescent="0.35">
      <c r="A115" t="s">
        <v>154</v>
      </c>
      <c r="B115" s="8" t="s">
        <v>1466</v>
      </c>
      <c r="C115">
        <v>1</v>
      </c>
      <c r="D115" t="str">
        <f>D102</f>
        <v>Monday 29 March 2027</v>
      </c>
      <c r="E115" s="2">
        <f>VLOOKUP(D115,Semaine_ref_trim!$C$1:$E$372,2,FALSE)</f>
        <v>46475</v>
      </c>
      <c r="F115" s="2">
        <f>VLOOKUP(D115,Semaine_ref_trim!$C$1:$E$372,3,FALSE)</f>
        <v>46481</v>
      </c>
    </row>
    <row r="116" spans="1:6" x14ac:dyDescent="0.35">
      <c r="A116" t="s">
        <v>154</v>
      </c>
      <c r="B116" s="8" t="s">
        <v>1466</v>
      </c>
      <c r="C116">
        <v>2</v>
      </c>
      <c r="D116" t="str">
        <f>D104</f>
        <v>Monday 12 April 2027</v>
      </c>
      <c r="E116" s="2">
        <f>VLOOKUP(D116,Semaine_ref_trim!$C$1:$E$372,2,FALSE)</f>
        <v>46489</v>
      </c>
      <c r="F116" s="2">
        <f>VLOOKUP(D116,Semaine_ref_trim!$C$1:$E$372,3,FALSE)</f>
        <v>46495</v>
      </c>
    </row>
    <row r="117" spans="1:6" x14ac:dyDescent="0.35">
      <c r="A117" t="s">
        <v>154</v>
      </c>
      <c r="B117" s="8" t="s">
        <v>1466</v>
      </c>
      <c r="C117">
        <v>3</v>
      </c>
      <c r="D117" t="str">
        <f>D106</f>
        <v>Monday 26 April 2027</v>
      </c>
      <c r="E117" s="2">
        <f>VLOOKUP(D117,Semaine_ref_trim!$C$1:$E$372,2,FALSE)</f>
        <v>46503</v>
      </c>
      <c r="F117" s="2">
        <f>VLOOKUP(D117,Semaine_ref_trim!$C$1:$E$372,3,FALSE)</f>
        <v>46509</v>
      </c>
    </row>
    <row r="118" spans="1:6" x14ac:dyDescent="0.35">
      <c r="A118" t="s">
        <v>154</v>
      </c>
      <c r="B118" s="8" t="s">
        <v>1466</v>
      </c>
      <c r="C118">
        <v>4</v>
      </c>
      <c r="D118" t="str">
        <f>D108</f>
        <v>Monday 10 May 2027</v>
      </c>
      <c r="E118" s="2">
        <f>VLOOKUP(D118,Semaine_ref_trim!$C$1:$E$372,2,FALSE)</f>
        <v>46517</v>
      </c>
      <c r="F118" s="2">
        <f>VLOOKUP(D118,Semaine_ref_trim!$C$1:$E$372,3,FALSE)</f>
        <v>46523</v>
      </c>
    </row>
    <row r="119" spans="1:6" x14ac:dyDescent="0.35">
      <c r="A119" t="s">
        <v>154</v>
      </c>
      <c r="B119" s="8" t="s">
        <v>1466</v>
      </c>
      <c r="C119">
        <v>5</v>
      </c>
      <c r="D119" t="str">
        <f>D110</f>
        <v>Monday 24 May 2027</v>
      </c>
      <c r="E119" s="2">
        <f>VLOOKUP(D119,Semaine_ref_trim!$C$1:$E$372,2,FALSE)</f>
        <v>46531</v>
      </c>
      <c r="F119" s="2">
        <f>VLOOKUP(D119,Semaine_ref_trim!$C$1:$E$372,3,FALSE)</f>
        <v>46537</v>
      </c>
    </row>
    <row r="120" spans="1:6" x14ac:dyDescent="0.35">
      <c r="A120" t="s">
        <v>154</v>
      </c>
      <c r="B120" s="8" t="s">
        <v>1466</v>
      </c>
      <c r="C120">
        <v>6</v>
      </c>
      <c r="D120" t="str">
        <f>D112</f>
        <v>Monday 7 June 2027</v>
      </c>
      <c r="E120" s="2">
        <f>VLOOKUP(D120,Semaine_ref_trim!$C$1:$E$372,2,FALSE)</f>
        <v>46545</v>
      </c>
      <c r="F120" s="2">
        <f>VLOOKUP(D120,Semaine_ref_trim!$C$1:$E$372,3,FALSE)</f>
        <v>46551</v>
      </c>
    </row>
    <row r="121" spans="1:6" x14ac:dyDescent="0.35">
      <c r="A121" t="s">
        <v>154</v>
      </c>
      <c r="B121" s="8" t="s">
        <v>1466</v>
      </c>
      <c r="C121">
        <v>7</v>
      </c>
      <c r="D121" t="str">
        <f>D114</f>
        <v>Monday 21 June 2027</v>
      </c>
      <c r="E121" s="2">
        <f>VLOOKUP(D121,Semaine_ref_trim!$C$1:$E$372,2,FALSE)</f>
        <v>46559</v>
      </c>
      <c r="F121" s="2">
        <f>VLOOKUP(D121,Semaine_ref_trim!$C$1:$E$372,3,FALSE)</f>
        <v>46565</v>
      </c>
    </row>
    <row r="122" spans="1:6" x14ac:dyDescent="0.35">
      <c r="A122" t="s">
        <v>169</v>
      </c>
      <c r="B122" s="8" t="s">
        <v>1464</v>
      </c>
      <c r="C122">
        <v>1</v>
      </c>
      <c r="D122" t="s">
        <v>209</v>
      </c>
      <c r="E122" s="2">
        <f>VLOOKUP(D122,Semaine_ref_trim!$C$1:$E$372,2,FALSE)</f>
        <v>46566</v>
      </c>
      <c r="F122" s="2">
        <f>VLOOKUP(D122,Semaine_ref_trim!$C$1:$E$372,3,FALSE)</f>
        <v>46572</v>
      </c>
    </row>
    <row r="123" spans="1:6" x14ac:dyDescent="0.35">
      <c r="A123" t="s">
        <v>169</v>
      </c>
      <c r="B123" s="8" t="s">
        <v>1464</v>
      </c>
      <c r="C123">
        <v>2</v>
      </c>
      <c r="D123" t="s">
        <v>210</v>
      </c>
      <c r="E123" s="2">
        <f>VLOOKUP(D123,Semaine_ref_trim!$C$1:$E$372,2,FALSE)</f>
        <v>46573</v>
      </c>
      <c r="F123" s="2">
        <f>VLOOKUP(D123,Semaine_ref_trim!$C$1:$E$372,3,FALSE)</f>
        <v>46579</v>
      </c>
    </row>
    <row r="124" spans="1:6" x14ac:dyDescent="0.35">
      <c r="A124" t="s">
        <v>169</v>
      </c>
      <c r="B124" s="8" t="s">
        <v>1464</v>
      </c>
      <c r="C124">
        <v>3</v>
      </c>
      <c r="D124" t="s">
        <v>211</v>
      </c>
      <c r="E124" s="2">
        <f>VLOOKUP(D124,Semaine_ref_trim!$C$1:$E$372,2,FALSE)</f>
        <v>46580</v>
      </c>
      <c r="F124" s="2">
        <f>VLOOKUP(D124,Semaine_ref_trim!$C$1:$E$372,3,FALSE)</f>
        <v>46586</v>
      </c>
    </row>
    <row r="125" spans="1:6" x14ac:dyDescent="0.35">
      <c r="A125" t="s">
        <v>169</v>
      </c>
      <c r="B125" s="8" t="s">
        <v>1464</v>
      </c>
      <c r="C125">
        <v>4</v>
      </c>
      <c r="D125" t="s">
        <v>212</v>
      </c>
      <c r="E125" s="2">
        <f>VLOOKUP(D125,Semaine_ref_trim!$C$1:$E$372,2,FALSE)</f>
        <v>46587</v>
      </c>
      <c r="F125" s="2">
        <f>VLOOKUP(D125,Semaine_ref_trim!$C$1:$E$372,3,FALSE)</f>
        <v>46593</v>
      </c>
    </row>
    <row r="126" spans="1:6" x14ac:dyDescent="0.35">
      <c r="A126" t="s">
        <v>169</v>
      </c>
      <c r="B126" s="8" t="s">
        <v>1464</v>
      </c>
      <c r="C126">
        <v>5</v>
      </c>
      <c r="D126" t="s">
        <v>213</v>
      </c>
      <c r="E126" s="2">
        <f>VLOOKUP(D126,Semaine_ref_trim!$C$1:$E$372,2,FALSE)</f>
        <v>46594</v>
      </c>
      <c r="F126" s="2">
        <f>VLOOKUP(D126,Semaine_ref_trim!$C$1:$E$372,3,FALSE)</f>
        <v>46600</v>
      </c>
    </row>
    <row r="127" spans="1:6" x14ac:dyDescent="0.35">
      <c r="A127" t="s">
        <v>169</v>
      </c>
      <c r="B127" s="8" t="s">
        <v>1464</v>
      </c>
      <c r="C127">
        <v>6</v>
      </c>
      <c r="D127" t="s">
        <v>214</v>
      </c>
      <c r="E127" s="2">
        <f>VLOOKUP(D127,Semaine_ref_trim!$C$1:$E$372,2,FALSE)</f>
        <v>46601</v>
      </c>
      <c r="F127" s="2">
        <f>VLOOKUP(D127,Semaine_ref_trim!$C$1:$E$372,3,FALSE)</f>
        <v>46607</v>
      </c>
    </row>
    <row r="128" spans="1:6" x14ac:dyDescent="0.35">
      <c r="A128" t="s">
        <v>169</v>
      </c>
      <c r="B128" s="8" t="s">
        <v>1464</v>
      </c>
      <c r="C128">
        <v>7</v>
      </c>
      <c r="D128" t="s">
        <v>215</v>
      </c>
      <c r="E128" s="2">
        <f>VLOOKUP(D128,Semaine_ref_trim!$C$1:$E$372,2,FALSE)</f>
        <v>46608</v>
      </c>
      <c r="F128" s="2">
        <f>VLOOKUP(D128,Semaine_ref_trim!$C$1:$E$372,3,FALSE)</f>
        <v>46614</v>
      </c>
    </row>
    <row r="129" spans="1:6" x14ac:dyDescent="0.35">
      <c r="A129" t="s">
        <v>169</v>
      </c>
      <c r="B129" s="8" t="s">
        <v>1464</v>
      </c>
      <c r="C129">
        <v>8</v>
      </c>
      <c r="D129" t="s">
        <v>216</v>
      </c>
      <c r="E129" s="2">
        <f>VLOOKUP(D129,Semaine_ref_trim!$C$1:$E$372,2,FALSE)</f>
        <v>46615</v>
      </c>
      <c r="F129" s="2">
        <f>VLOOKUP(D129,Semaine_ref_trim!$C$1:$E$372,3,FALSE)</f>
        <v>46621</v>
      </c>
    </row>
    <row r="130" spans="1:6" x14ac:dyDescent="0.35">
      <c r="A130" t="s">
        <v>169</v>
      </c>
      <c r="B130" s="8" t="s">
        <v>1464</v>
      </c>
      <c r="C130">
        <v>9</v>
      </c>
      <c r="D130" t="s">
        <v>217</v>
      </c>
      <c r="E130" s="2">
        <f>VLOOKUP(D130,Semaine_ref_trim!$C$1:$E$372,2,FALSE)</f>
        <v>46622</v>
      </c>
      <c r="F130" s="2">
        <f>VLOOKUP(D130,Semaine_ref_trim!$C$1:$E$372,3,FALSE)</f>
        <v>46628</v>
      </c>
    </row>
    <row r="131" spans="1:6" x14ac:dyDescent="0.35">
      <c r="A131" t="s">
        <v>169</v>
      </c>
      <c r="B131" s="8" t="s">
        <v>1464</v>
      </c>
      <c r="C131">
        <v>10</v>
      </c>
      <c r="D131" t="s">
        <v>218</v>
      </c>
      <c r="E131" s="2">
        <f>VLOOKUP(D131,Semaine_ref_trim!$C$1:$E$372,2,FALSE)</f>
        <v>46629</v>
      </c>
      <c r="F131" s="2">
        <f>VLOOKUP(D131,Semaine_ref_trim!$C$1:$E$372,3,FALSE)</f>
        <v>46635</v>
      </c>
    </row>
    <row r="132" spans="1:6" x14ac:dyDescent="0.35">
      <c r="A132" t="s">
        <v>169</v>
      </c>
      <c r="B132" s="8" t="s">
        <v>1464</v>
      </c>
      <c r="C132">
        <v>11</v>
      </c>
      <c r="D132" t="s">
        <v>219</v>
      </c>
      <c r="E132" s="2">
        <f>VLOOKUP(D132,Semaine_ref_trim!$C$1:$E$372,2,FALSE)</f>
        <v>46636</v>
      </c>
      <c r="F132" s="2">
        <f>VLOOKUP(D132,Semaine_ref_trim!$C$1:$E$372,3,FALSE)</f>
        <v>46642</v>
      </c>
    </row>
    <row r="133" spans="1:6" x14ac:dyDescent="0.35">
      <c r="A133" t="s">
        <v>169</v>
      </c>
      <c r="B133" s="8" t="s">
        <v>1464</v>
      </c>
      <c r="C133">
        <v>12</v>
      </c>
      <c r="D133" t="s">
        <v>220</v>
      </c>
      <c r="E133" s="2">
        <f>VLOOKUP(D133,Semaine_ref_trim!$C$1:$E$372,2,FALSE)</f>
        <v>46643</v>
      </c>
      <c r="F133" s="2">
        <f>VLOOKUP(D133,Semaine_ref_trim!$C$1:$E$372,3,FALSE)</f>
        <v>46649</v>
      </c>
    </row>
    <row r="134" spans="1:6" x14ac:dyDescent="0.35">
      <c r="A134" t="s">
        <v>169</v>
      </c>
      <c r="B134" s="8" t="s">
        <v>1464</v>
      </c>
      <c r="C134">
        <v>13</v>
      </c>
      <c r="D134" t="s">
        <v>221</v>
      </c>
      <c r="E134" s="2">
        <f>VLOOKUP(D134,Semaine_ref_trim!$C$1:$E$372,2,FALSE)</f>
        <v>46650</v>
      </c>
      <c r="F134" s="2">
        <f>VLOOKUP(D134,Semaine_ref_trim!$C$1:$E$372,3,FALSE)</f>
        <v>46656</v>
      </c>
    </row>
    <row r="135" spans="1:6" x14ac:dyDescent="0.35">
      <c r="A135" t="s">
        <v>169</v>
      </c>
      <c r="B135" s="8" t="s">
        <v>1466</v>
      </c>
      <c r="C135">
        <v>1</v>
      </c>
      <c r="D135" t="str">
        <f>D122</f>
        <v>Monday 28 June 2027</v>
      </c>
      <c r="E135" s="2">
        <f>VLOOKUP(D135,Semaine_ref_trim!$C$1:$E$372,2,FALSE)</f>
        <v>46566</v>
      </c>
      <c r="F135" s="2">
        <f>VLOOKUP(D135,Semaine_ref_trim!$C$1:$E$372,3,FALSE)</f>
        <v>46572</v>
      </c>
    </row>
    <row r="136" spans="1:6" x14ac:dyDescent="0.35">
      <c r="A136" t="s">
        <v>169</v>
      </c>
      <c r="B136" s="8" t="s">
        <v>1466</v>
      </c>
      <c r="C136">
        <v>2</v>
      </c>
      <c r="D136" t="str">
        <f>D124</f>
        <v>Monday 12 July 2027</v>
      </c>
      <c r="E136" s="2">
        <f>VLOOKUP(D136,Semaine_ref_trim!$C$1:$E$372,2,FALSE)</f>
        <v>46580</v>
      </c>
      <c r="F136" s="2">
        <f>VLOOKUP(D136,Semaine_ref_trim!$C$1:$E$372,3,FALSE)</f>
        <v>46586</v>
      </c>
    </row>
    <row r="137" spans="1:6" x14ac:dyDescent="0.35">
      <c r="A137" t="s">
        <v>169</v>
      </c>
      <c r="B137" s="8" t="s">
        <v>1466</v>
      </c>
      <c r="C137">
        <v>3</v>
      </c>
      <c r="D137" t="str">
        <f>D126</f>
        <v>Monday 26 July 2027</v>
      </c>
      <c r="E137" s="2">
        <f>VLOOKUP(D137,Semaine_ref_trim!$C$1:$E$372,2,FALSE)</f>
        <v>46594</v>
      </c>
      <c r="F137" s="2">
        <f>VLOOKUP(D137,Semaine_ref_trim!$C$1:$E$372,3,FALSE)</f>
        <v>46600</v>
      </c>
    </row>
    <row r="138" spans="1:6" x14ac:dyDescent="0.35">
      <c r="A138" t="s">
        <v>169</v>
      </c>
      <c r="B138" s="8" t="s">
        <v>1466</v>
      </c>
      <c r="C138">
        <v>4</v>
      </c>
      <c r="D138" t="str">
        <f>D128</f>
        <v>Monday 9 August 2027</v>
      </c>
      <c r="E138" s="2">
        <f>VLOOKUP(D138,Semaine_ref_trim!$C$1:$E$372,2,FALSE)</f>
        <v>46608</v>
      </c>
      <c r="F138" s="2">
        <f>VLOOKUP(D138,Semaine_ref_trim!$C$1:$E$372,3,FALSE)</f>
        <v>46614</v>
      </c>
    </row>
    <row r="139" spans="1:6" x14ac:dyDescent="0.35">
      <c r="A139" t="s">
        <v>169</v>
      </c>
      <c r="B139" s="8" t="s">
        <v>1466</v>
      </c>
      <c r="C139">
        <v>5</v>
      </c>
      <c r="D139" t="str">
        <f>D130</f>
        <v>Monday 23 August 2027</v>
      </c>
      <c r="E139" s="2">
        <f>VLOOKUP(D139,Semaine_ref_trim!$C$1:$E$372,2,FALSE)</f>
        <v>46622</v>
      </c>
      <c r="F139" s="2">
        <f>VLOOKUP(D139,Semaine_ref_trim!$C$1:$E$372,3,FALSE)</f>
        <v>46628</v>
      </c>
    </row>
    <row r="140" spans="1:6" x14ac:dyDescent="0.35">
      <c r="A140" t="s">
        <v>169</v>
      </c>
      <c r="B140" s="8" t="s">
        <v>1466</v>
      </c>
      <c r="C140">
        <v>6</v>
      </c>
      <c r="D140" t="str">
        <f>D132</f>
        <v>Monday 6 September 2027</v>
      </c>
      <c r="E140" s="2">
        <f>VLOOKUP(D140,Semaine_ref_trim!$C$1:$E$372,2,FALSE)</f>
        <v>46636</v>
      </c>
      <c r="F140" s="2">
        <f>VLOOKUP(D140,Semaine_ref_trim!$C$1:$E$372,3,FALSE)</f>
        <v>46642</v>
      </c>
    </row>
    <row r="141" spans="1:6" x14ac:dyDescent="0.35">
      <c r="A141" t="s">
        <v>169</v>
      </c>
      <c r="B141" s="8" t="s">
        <v>1466</v>
      </c>
      <c r="C141">
        <v>7</v>
      </c>
      <c r="D141" t="str">
        <f>D134</f>
        <v>Monday 20 September 2027</v>
      </c>
      <c r="E141" s="2">
        <f>VLOOKUP(D141,Semaine_ref_trim!$C$1:$E$372,2,FALSE)</f>
        <v>46650</v>
      </c>
      <c r="F141" s="2">
        <f>VLOOKUP(D141,Semaine_ref_trim!$C$1:$E$372,3,FALSE)</f>
        <v>46656</v>
      </c>
    </row>
    <row r="142" spans="1:6" x14ac:dyDescent="0.35">
      <c r="A142" t="s">
        <v>123</v>
      </c>
      <c r="B142" s="8" t="s">
        <v>1464</v>
      </c>
      <c r="C142">
        <v>1</v>
      </c>
      <c r="D142" t="s">
        <v>222</v>
      </c>
      <c r="E142" s="2">
        <f>VLOOKUP(D142,Semaine_ref_trim!$C$1:$E$372,2,FALSE)</f>
        <v>46657</v>
      </c>
      <c r="F142" s="2">
        <f>VLOOKUP(D142,Semaine_ref_trim!$C$1:$E$372,3,FALSE)</f>
        <v>46663</v>
      </c>
    </row>
    <row r="143" spans="1:6" x14ac:dyDescent="0.35">
      <c r="A143" t="s">
        <v>123</v>
      </c>
      <c r="B143" s="8" t="s">
        <v>1464</v>
      </c>
      <c r="C143">
        <v>2</v>
      </c>
      <c r="D143" t="s">
        <v>223</v>
      </c>
      <c r="E143" s="2">
        <f>VLOOKUP(D143,Semaine_ref_trim!$C$1:$E$372,2,FALSE)</f>
        <v>46664</v>
      </c>
      <c r="F143" s="2">
        <f>VLOOKUP(D143,Semaine_ref_trim!$C$1:$E$372,3,FALSE)</f>
        <v>46670</v>
      </c>
    </row>
    <row r="144" spans="1:6" x14ac:dyDescent="0.35">
      <c r="A144" t="s">
        <v>123</v>
      </c>
      <c r="B144" s="8" t="s">
        <v>1464</v>
      </c>
      <c r="C144">
        <v>3</v>
      </c>
      <c r="D144" t="s">
        <v>224</v>
      </c>
      <c r="E144" s="2">
        <f>VLOOKUP(D144,Semaine_ref_trim!$C$1:$E$372,2,FALSE)</f>
        <v>46671</v>
      </c>
      <c r="F144" s="2">
        <f>VLOOKUP(D144,Semaine_ref_trim!$C$1:$E$372,3,FALSE)</f>
        <v>46677</v>
      </c>
    </row>
    <row r="145" spans="1:6" x14ac:dyDescent="0.35">
      <c r="A145" t="s">
        <v>123</v>
      </c>
      <c r="B145" s="8" t="s">
        <v>1464</v>
      </c>
      <c r="C145">
        <v>4</v>
      </c>
      <c r="D145" t="s">
        <v>225</v>
      </c>
      <c r="E145" s="2">
        <f>VLOOKUP(D145,Semaine_ref_trim!$C$1:$E$372,2,FALSE)</f>
        <v>46678</v>
      </c>
      <c r="F145" s="2">
        <f>VLOOKUP(D145,Semaine_ref_trim!$C$1:$E$372,3,FALSE)</f>
        <v>46684</v>
      </c>
    </row>
    <row r="146" spans="1:6" x14ac:dyDescent="0.35">
      <c r="A146" t="s">
        <v>123</v>
      </c>
      <c r="B146" s="8" t="s">
        <v>1464</v>
      </c>
      <c r="C146">
        <v>5</v>
      </c>
      <c r="D146" t="s">
        <v>226</v>
      </c>
      <c r="E146" s="2">
        <f>VLOOKUP(D146,Semaine_ref_trim!$C$1:$E$372,2,FALSE)</f>
        <v>46685</v>
      </c>
      <c r="F146" s="2">
        <f>VLOOKUP(D146,Semaine_ref_trim!$C$1:$E$372,3,FALSE)</f>
        <v>46691</v>
      </c>
    </row>
    <row r="147" spans="1:6" x14ac:dyDescent="0.35">
      <c r="A147" t="s">
        <v>123</v>
      </c>
      <c r="B147" s="8" t="s">
        <v>1464</v>
      </c>
      <c r="C147">
        <v>6</v>
      </c>
      <c r="D147" t="s">
        <v>227</v>
      </c>
      <c r="E147" s="2">
        <f>VLOOKUP(D147,Semaine_ref_trim!$C$1:$E$372,2,FALSE)</f>
        <v>46692</v>
      </c>
      <c r="F147" s="2">
        <f>VLOOKUP(D147,Semaine_ref_trim!$C$1:$E$372,3,FALSE)</f>
        <v>46698</v>
      </c>
    </row>
    <row r="148" spans="1:6" x14ac:dyDescent="0.35">
      <c r="A148" t="s">
        <v>123</v>
      </c>
      <c r="B148" s="8" t="s">
        <v>1464</v>
      </c>
      <c r="C148">
        <v>7</v>
      </c>
      <c r="D148" t="s">
        <v>228</v>
      </c>
      <c r="E148" s="2">
        <f>VLOOKUP(D148,Semaine_ref_trim!$C$1:$E$372,2,FALSE)</f>
        <v>46699</v>
      </c>
      <c r="F148" s="2">
        <f>VLOOKUP(D148,Semaine_ref_trim!$C$1:$E$372,3,FALSE)</f>
        <v>46705</v>
      </c>
    </row>
    <row r="149" spans="1:6" x14ac:dyDescent="0.35">
      <c r="A149" t="s">
        <v>123</v>
      </c>
      <c r="B149" s="8" t="s">
        <v>1464</v>
      </c>
      <c r="C149">
        <v>8</v>
      </c>
      <c r="D149" t="s">
        <v>229</v>
      </c>
      <c r="E149" s="2">
        <f>VLOOKUP(D149,Semaine_ref_trim!$C$1:$E$372,2,FALSE)</f>
        <v>46706</v>
      </c>
      <c r="F149" s="2">
        <f>VLOOKUP(D149,Semaine_ref_trim!$C$1:$E$372,3,FALSE)</f>
        <v>46712</v>
      </c>
    </row>
    <row r="150" spans="1:6" x14ac:dyDescent="0.35">
      <c r="A150" t="s">
        <v>123</v>
      </c>
      <c r="B150" s="8" t="s">
        <v>1464</v>
      </c>
      <c r="C150">
        <v>9</v>
      </c>
      <c r="D150" t="s">
        <v>230</v>
      </c>
      <c r="E150" s="2">
        <f>VLOOKUP(D150,Semaine_ref_trim!$C$1:$E$372,2,FALSE)</f>
        <v>46713</v>
      </c>
      <c r="F150" s="2">
        <f>VLOOKUP(D150,Semaine_ref_trim!$C$1:$E$372,3,FALSE)</f>
        <v>46719</v>
      </c>
    </row>
    <row r="151" spans="1:6" x14ac:dyDescent="0.35">
      <c r="A151" t="s">
        <v>123</v>
      </c>
      <c r="B151" s="8" t="s">
        <v>1464</v>
      </c>
      <c r="C151">
        <v>10</v>
      </c>
      <c r="D151" t="s">
        <v>231</v>
      </c>
      <c r="E151" s="2">
        <f>VLOOKUP(D151,Semaine_ref_trim!$C$1:$E$372,2,FALSE)</f>
        <v>46720</v>
      </c>
      <c r="F151" s="2">
        <f>VLOOKUP(D151,Semaine_ref_trim!$C$1:$E$372,3,FALSE)</f>
        <v>46726</v>
      </c>
    </row>
    <row r="152" spans="1:6" x14ac:dyDescent="0.35">
      <c r="A152" t="s">
        <v>123</v>
      </c>
      <c r="B152" s="8" t="s">
        <v>1464</v>
      </c>
      <c r="C152">
        <v>11</v>
      </c>
      <c r="D152" t="s">
        <v>232</v>
      </c>
      <c r="E152" s="2">
        <f>VLOOKUP(D152,Semaine_ref_trim!$C$1:$E$372,2,FALSE)</f>
        <v>46727</v>
      </c>
      <c r="F152" s="2">
        <f>VLOOKUP(D152,Semaine_ref_trim!$C$1:$E$372,3,FALSE)</f>
        <v>46733</v>
      </c>
    </row>
    <row r="153" spans="1:6" x14ac:dyDescent="0.35">
      <c r="A153" t="s">
        <v>123</v>
      </c>
      <c r="B153" s="8" t="s">
        <v>1464</v>
      </c>
      <c r="C153">
        <v>12</v>
      </c>
      <c r="D153" t="s">
        <v>233</v>
      </c>
      <c r="E153" s="2">
        <f>VLOOKUP(D153,Semaine_ref_trim!$C$1:$E$372,2,FALSE)</f>
        <v>46734</v>
      </c>
      <c r="F153" s="2">
        <f>VLOOKUP(D153,Semaine_ref_trim!$C$1:$E$372,3,FALSE)</f>
        <v>46740</v>
      </c>
    </row>
    <row r="154" spans="1:6" x14ac:dyDescent="0.35">
      <c r="A154" t="s">
        <v>123</v>
      </c>
      <c r="B154" s="8" t="s">
        <v>1464</v>
      </c>
      <c r="C154">
        <v>13</v>
      </c>
      <c r="D154" t="s">
        <v>234</v>
      </c>
      <c r="E154" s="2">
        <f>VLOOKUP(D154,Semaine_ref_trim!$C$1:$E$372,2,FALSE)</f>
        <v>46741</v>
      </c>
      <c r="F154" s="2">
        <f>VLOOKUP(D154,Semaine_ref_trim!$C$1:$E$372,3,FALSE)</f>
        <v>46747</v>
      </c>
    </row>
    <row r="155" spans="1:6" x14ac:dyDescent="0.35">
      <c r="A155" t="s">
        <v>123</v>
      </c>
      <c r="B155" s="8" t="s">
        <v>1466</v>
      </c>
      <c r="C155">
        <v>1</v>
      </c>
      <c r="D155" t="str">
        <f>D142</f>
        <v>Monday 27 September 2027</v>
      </c>
      <c r="E155" s="2">
        <f>VLOOKUP(D155,Semaine_ref_trim!$C$1:$E$372,2,FALSE)</f>
        <v>46657</v>
      </c>
      <c r="F155" s="2">
        <f>VLOOKUP(D155,Semaine_ref_trim!$C$1:$E$372,3,FALSE)</f>
        <v>46663</v>
      </c>
    </row>
    <row r="156" spans="1:6" x14ac:dyDescent="0.35">
      <c r="A156" t="s">
        <v>123</v>
      </c>
      <c r="B156" s="8" t="s">
        <v>1466</v>
      </c>
      <c r="C156">
        <v>2</v>
      </c>
      <c r="D156" t="str">
        <f>D144</f>
        <v>Monday 11 October 2027</v>
      </c>
      <c r="E156" s="2">
        <f>VLOOKUP(D156,Semaine_ref_trim!$C$1:$E$372,2,FALSE)</f>
        <v>46671</v>
      </c>
      <c r="F156" s="2">
        <f>VLOOKUP(D156,Semaine_ref_trim!$C$1:$E$372,3,FALSE)</f>
        <v>46677</v>
      </c>
    </row>
    <row r="157" spans="1:6" x14ac:dyDescent="0.35">
      <c r="A157" t="s">
        <v>123</v>
      </c>
      <c r="B157" s="8" t="s">
        <v>1466</v>
      </c>
      <c r="C157">
        <v>3</v>
      </c>
      <c r="D157" t="str">
        <f>D146</f>
        <v>Monday 25 October 2027</v>
      </c>
      <c r="E157" s="2">
        <f>VLOOKUP(D157,Semaine_ref_trim!$C$1:$E$372,2,FALSE)</f>
        <v>46685</v>
      </c>
      <c r="F157" s="2">
        <f>VLOOKUP(D157,Semaine_ref_trim!$C$1:$E$372,3,FALSE)</f>
        <v>46691</v>
      </c>
    </row>
    <row r="158" spans="1:6" x14ac:dyDescent="0.35">
      <c r="A158" t="s">
        <v>123</v>
      </c>
      <c r="B158" s="8" t="s">
        <v>1466</v>
      </c>
      <c r="C158">
        <v>4</v>
      </c>
      <c r="D158" t="str">
        <f>D148</f>
        <v>Monday 8 November 2027</v>
      </c>
      <c r="E158" s="2">
        <f>VLOOKUP(D158,Semaine_ref_trim!$C$1:$E$372,2,FALSE)</f>
        <v>46699</v>
      </c>
      <c r="F158" s="2">
        <f>VLOOKUP(D158,Semaine_ref_trim!$C$1:$E$372,3,FALSE)</f>
        <v>46705</v>
      </c>
    </row>
    <row r="159" spans="1:6" x14ac:dyDescent="0.35">
      <c r="A159" t="s">
        <v>123</v>
      </c>
      <c r="B159" s="8" t="s">
        <v>1466</v>
      </c>
      <c r="C159">
        <v>5</v>
      </c>
      <c r="D159" t="str">
        <f>D150</f>
        <v>Monday 22 November 2027</v>
      </c>
      <c r="E159" s="2">
        <f>VLOOKUP(D159,Semaine_ref_trim!$C$1:$E$372,2,FALSE)</f>
        <v>46713</v>
      </c>
      <c r="F159" s="2">
        <f>VLOOKUP(D159,Semaine_ref_trim!$C$1:$E$372,3,FALSE)</f>
        <v>46719</v>
      </c>
    </row>
    <row r="160" spans="1:6" x14ac:dyDescent="0.35">
      <c r="A160" t="s">
        <v>123</v>
      </c>
      <c r="B160" s="8" t="s">
        <v>1466</v>
      </c>
      <c r="C160">
        <v>6</v>
      </c>
      <c r="D160" t="str">
        <f>D152</f>
        <v>Monday 6 December 2027</v>
      </c>
      <c r="E160" s="2">
        <f>VLOOKUP(D160,Semaine_ref_trim!$C$1:$E$372,2,FALSE)</f>
        <v>46727</v>
      </c>
      <c r="F160" s="2">
        <f>VLOOKUP(D160,Semaine_ref_trim!$C$1:$E$372,3,FALSE)</f>
        <v>46733</v>
      </c>
    </row>
    <row r="161" spans="1:6" x14ac:dyDescent="0.35">
      <c r="A161" t="s">
        <v>123</v>
      </c>
      <c r="B161" s="8" t="s">
        <v>1466</v>
      </c>
      <c r="C161">
        <v>7</v>
      </c>
      <c r="D161" t="str">
        <f>D154</f>
        <v>Monday 20 December 2027</v>
      </c>
      <c r="E161" s="2">
        <f>VLOOKUP(D161,Semaine_ref_trim!$C$1:$E$372,2,FALSE)</f>
        <v>46741</v>
      </c>
      <c r="F161" s="2">
        <f>VLOOKUP(D161,Semaine_ref_trim!$C$1:$E$372,3,FALSE)</f>
        <v>46747</v>
      </c>
    </row>
    <row r="162" spans="1:6" x14ac:dyDescent="0.35">
      <c r="A162" t="s">
        <v>1467</v>
      </c>
      <c r="B162" s="8" t="s">
        <v>1464</v>
      </c>
      <c r="C162">
        <v>1</v>
      </c>
      <c r="D162" t="s">
        <v>1483</v>
      </c>
      <c r="E162" s="2">
        <f>VLOOKUP(D162,Semaine_ref_trim!$C$1:$E$372,2,FALSE)</f>
        <v>46748</v>
      </c>
      <c r="F162" s="2">
        <f>VLOOKUP(D162,Semaine_ref_trim!$C$1:$E$372,3,FALSE)</f>
        <v>46754</v>
      </c>
    </row>
    <row r="163" spans="1:6" x14ac:dyDescent="0.35">
      <c r="A163" t="s">
        <v>1467</v>
      </c>
      <c r="B163" s="8" t="s">
        <v>1464</v>
      </c>
      <c r="C163">
        <v>2</v>
      </c>
      <c r="D163" t="s">
        <v>1484</v>
      </c>
      <c r="E163" s="2">
        <f>VLOOKUP(D163,Semaine_ref_trim!$C$1:$E$372,2,FALSE)</f>
        <v>46755</v>
      </c>
      <c r="F163" s="2">
        <f>VLOOKUP(D163,Semaine_ref_trim!$C$1:$E$372,3,FALSE)</f>
        <v>46761</v>
      </c>
    </row>
    <row r="164" spans="1:6" x14ac:dyDescent="0.35">
      <c r="A164" t="s">
        <v>1467</v>
      </c>
      <c r="B164" s="8" t="s">
        <v>1464</v>
      </c>
      <c r="C164">
        <v>3</v>
      </c>
      <c r="D164" t="s">
        <v>1485</v>
      </c>
      <c r="E164" s="2">
        <f>VLOOKUP(D164,Semaine_ref_trim!$C$1:$E$372,2,FALSE)</f>
        <v>46762</v>
      </c>
      <c r="F164" s="2">
        <f>VLOOKUP(D164,Semaine_ref_trim!$C$1:$E$372,3,FALSE)</f>
        <v>46768</v>
      </c>
    </row>
    <row r="165" spans="1:6" x14ac:dyDescent="0.35">
      <c r="A165" t="s">
        <v>1467</v>
      </c>
      <c r="B165" s="8" t="s">
        <v>1464</v>
      </c>
      <c r="C165">
        <v>4</v>
      </c>
      <c r="D165" t="s">
        <v>1486</v>
      </c>
      <c r="E165" s="2">
        <f>VLOOKUP(D165,Semaine_ref_trim!$C$1:$E$372,2,FALSE)</f>
        <v>46769</v>
      </c>
      <c r="F165" s="2">
        <f>VLOOKUP(D165,Semaine_ref_trim!$C$1:$E$372,3,FALSE)</f>
        <v>46775</v>
      </c>
    </row>
    <row r="166" spans="1:6" x14ac:dyDescent="0.35">
      <c r="A166" t="s">
        <v>1467</v>
      </c>
      <c r="B166" s="8" t="s">
        <v>1464</v>
      </c>
      <c r="C166">
        <v>5</v>
      </c>
      <c r="D166" t="s">
        <v>1487</v>
      </c>
      <c r="E166" s="2">
        <f>VLOOKUP(D166,Semaine_ref_trim!$C$1:$E$372,2,FALSE)</f>
        <v>46776</v>
      </c>
      <c r="F166" s="2">
        <f>VLOOKUP(D166,Semaine_ref_trim!$C$1:$E$372,3,FALSE)</f>
        <v>46782</v>
      </c>
    </row>
    <row r="167" spans="1:6" x14ac:dyDescent="0.35">
      <c r="A167" t="s">
        <v>1467</v>
      </c>
      <c r="B167" s="8" t="s">
        <v>1464</v>
      </c>
      <c r="C167">
        <v>6</v>
      </c>
      <c r="D167" t="s">
        <v>1488</v>
      </c>
      <c r="E167" s="2">
        <f>VLOOKUP(D167,Semaine_ref_trim!$C$1:$E$372,2,FALSE)</f>
        <v>46783</v>
      </c>
      <c r="F167" s="2">
        <f>VLOOKUP(D167,Semaine_ref_trim!$C$1:$E$372,3,FALSE)</f>
        <v>46789</v>
      </c>
    </row>
    <row r="168" spans="1:6" x14ac:dyDescent="0.35">
      <c r="A168" t="s">
        <v>1467</v>
      </c>
      <c r="B168" s="8" t="s">
        <v>1464</v>
      </c>
      <c r="C168">
        <v>7</v>
      </c>
      <c r="D168" t="s">
        <v>1489</v>
      </c>
      <c r="E168" s="2">
        <f>VLOOKUP(D168,Semaine_ref_trim!$C$1:$E$372,2,FALSE)</f>
        <v>46790</v>
      </c>
      <c r="F168" s="2">
        <f>VLOOKUP(D168,Semaine_ref_trim!$C$1:$E$372,3,FALSE)</f>
        <v>46796</v>
      </c>
    </row>
    <row r="169" spans="1:6" x14ac:dyDescent="0.35">
      <c r="A169" t="s">
        <v>1467</v>
      </c>
      <c r="B169" s="8" t="s">
        <v>1464</v>
      </c>
      <c r="C169">
        <v>8</v>
      </c>
      <c r="D169" t="s">
        <v>1490</v>
      </c>
      <c r="E169" s="2">
        <f>VLOOKUP(D169,Semaine_ref_trim!$C$1:$E$372,2,FALSE)</f>
        <v>46797</v>
      </c>
      <c r="F169" s="2">
        <f>VLOOKUP(D169,Semaine_ref_trim!$C$1:$E$372,3,FALSE)</f>
        <v>46803</v>
      </c>
    </row>
    <row r="170" spans="1:6" x14ac:dyDescent="0.35">
      <c r="A170" t="s">
        <v>1467</v>
      </c>
      <c r="B170" s="8" t="s">
        <v>1464</v>
      </c>
      <c r="C170">
        <v>9</v>
      </c>
      <c r="D170" t="s">
        <v>1491</v>
      </c>
      <c r="E170" s="2">
        <f>VLOOKUP(D170,Semaine_ref_trim!$C$1:$E$372,2,FALSE)</f>
        <v>46804</v>
      </c>
      <c r="F170" s="2">
        <f>VLOOKUP(D170,Semaine_ref_trim!$C$1:$E$372,3,FALSE)</f>
        <v>46810</v>
      </c>
    </row>
    <row r="171" spans="1:6" x14ac:dyDescent="0.35">
      <c r="A171" t="s">
        <v>1467</v>
      </c>
      <c r="B171" s="8" t="s">
        <v>1464</v>
      </c>
      <c r="C171">
        <v>10</v>
      </c>
      <c r="D171" t="s">
        <v>1492</v>
      </c>
      <c r="E171" s="2">
        <f>VLOOKUP(D171,Semaine_ref_trim!$C$1:$E$372,2,FALSE)</f>
        <v>46811</v>
      </c>
      <c r="F171" s="2">
        <f>VLOOKUP(D171,Semaine_ref_trim!$C$1:$E$372,3,FALSE)</f>
        <v>46817</v>
      </c>
    </row>
    <row r="172" spans="1:6" x14ac:dyDescent="0.35">
      <c r="A172" t="s">
        <v>1467</v>
      </c>
      <c r="B172" s="8" t="s">
        <v>1464</v>
      </c>
      <c r="C172">
        <v>11</v>
      </c>
      <c r="D172" t="s">
        <v>1493</v>
      </c>
      <c r="E172" s="2">
        <f>VLOOKUP(D172,Semaine_ref_trim!$C$1:$E$372,2,FALSE)</f>
        <v>46818</v>
      </c>
      <c r="F172" s="2">
        <f>VLOOKUP(D172,Semaine_ref_trim!$C$1:$E$372,3,FALSE)</f>
        <v>46824</v>
      </c>
    </row>
    <row r="173" spans="1:6" x14ac:dyDescent="0.35">
      <c r="A173" t="s">
        <v>1467</v>
      </c>
      <c r="B173" s="8" t="s">
        <v>1464</v>
      </c>
      <c r="C173">
        <v>12</v>
      </c>
      <c r="D173" t="s">
        <v>1494</v>
      </c>
      <c r="E173" s="2">
        <f>VLOOKUP(D173,Semaine_ref_trim!$C$1:$E$372,2,FALSE)</f>
        <v>46825</v>
      </c>
      <c r="F173" s="2">
        <f>VLOOKUP(D173,Semaine_ref_trim!$C$1:$E$372,3,FALSE)</f>
        <v>46831</v>
      </c>
    </row>
    <row r="174" spans="1:6" x14ac:dyDescent="0.35">
      <c r="A174" t="s">
        <v>1467</v>
      </c>
      <c r="B174" s="8" t="s">
        <v>1464</v>
      </c>
      <c r="C174">
        <v>13</v>
      </c>
      <c r="D174" t="s">
        <v>1495</v>
      </c>
      <c r="E174" s="2">
        <f>VLOOKUP(D174,Semaine_ref_trim!$C$1:$E$372,2,FALSE)</f>
        <v>46832</v>
      </c>
      <c r="F174" s="2">
        <f>VLOOKUP(D174,Semaine_ref_trim!$C$1:$E$372,3,FALSE)</f>
        <v>46838</v>
      </c>
    </row>
    <row r="175" spans="1:6" x14ac:dyDescent="0.35">
      <c r="A175" t="s">
        <v>1467</v>
      </c>
      <c r="B175" s="8" t="s">
        <v>1466</v>
      </c>
      <c r="C175">
        <v>1</v>
      </c>
      <c r="D175" t="str">
        <f>D162</f>
        <v>Monday 27 December 2027</v>
      </c>
      <c r="E175" s="2">
        <f>VLOOKUP(D175,Semaine_ref_trim!$C$1:$E$372,2,FALSE)</f>
        <v>46748</v>
      </c>
      <c r="F175" s="2">
        <f>VLOOKUP(D175,Semaine_ref_trim!$C$1:$E$372,3,FALSE)</f>
        <v>46754</v>
      </c>
    </row>
    <row r="176" spans="1:6" x14ac:dyDescent="0.35">
      <c r="A176" t="s">
        <v>1467</v>
      </c>
      <c r="B176" s="8" t="s">
        <v>1466</v>
      </c>
      <c r="C176">
        <v>2</v>
      </c>
      <c r="D176" t="str">
        <f>D164</f>
        <v>Monday 10 January 2028</v>
      </c>
      <c r="E176" s="2">
        <f>VLOOKUP(D176,Semaine_ref_trim!$C$1:$E$372,2,FALSE)</f>
        <v>46762</v>
      </c>
      <c r="F176" s="2">
        <f>VLOOKUP(D176,Semaine_ref_trim!$C$1:$E$372,3,FALSE)</f>
        <v>46768</v>
      </c>
    </row>
    <row r="177" spans="1:6" x14ac:dyDescent="0.35">
      <c r="A177" t="s">
        <v>1467</v>
      </c>
      <c r="B177" s="8" t="s">
        <v>1466</v>
      </c>
      <c r="C177">
        <v>3</v>
      </c>
      <c r="D177" t="str">
        <f>D166</f>
        <v>Monday 24 January 2028</v>
      </c>
      <c r="E177" s="2">
        <f>VLOOKUP(D177,Semaine_ref_trim!$C$1:$E$372,2,FALSE)</f>
        <v>46776</v>
      </c>
      <c r="F177" s="2">
        <f>VLOOKUP(D177,Semaine_ref_trim!$C$1:$E$372,3,FALSE)</f>
        <v>46782</v>
      </c>
    </row>
    <row r="178" spans="1:6" x14ac:dyDescent="0.35">
      <c r="A178" t="s">
        <v>1467</v>
      </c>
      <c r="B178" s="8" t="s">
        <v>1466</v>
      </c>
      <c r="C178">
        <v>4</v>
      </c>
      <c r="D178" t="str">
        <f>D168</f>
        <v>Monday 7 February 2028</v>
      </c>
      <c r="E178" s="2">
        <f>VLOOKUP(D178,Semaine_ref_trim!$C$1:$E$372,2,FALSE)</f>
        <v>46790</v>
      </c>
      <c r="F178" s="2">
        <f>VLOOKUP(D178,Semaine_ref_trim!$C$1:$E$372,3,FALSE)</f>
        <v>46796</v>
      </c>
    </row>
    <row r="179" spans="1:6" x14ac:dyDescent="0.35">
      <c r="A179" t="s">
        <v>1467</v>
      </c>
      <c r="B179" s="8" t="s">
        <v>1466</v>
      </c>
      <c r="C179">
        <v>5</v>
      </c>
      <c r="D179" t="str">
        <f>D170</f>
        <v>Monday 21 February 2028</v>
      </c>
      <c r="E179" s="2">
        <f>VLOOKUP(D179,Semaine_ref_trim!$C$1:$E$372,2,FALSE)</f>
        <v>46804</v>
      </c>
      <c r="F179" s="2">
        <f>VLOOKUP(D179,Semaine_ref_trim!$C$1:$E$372,3,FALSE)</f>
        <v>46810</v>
      </c>
    </row>
    <row r="180" spans="1:6" x14ac:dyDescent="0.35">
      <c r="A180" t="s">
        <v>1467</v>
      </c>
      <c r="B180" s="8" t="s">
        <v>1466</v>
      </c>
      <c r="C180">
        <v>6</v>
      </c>
      <c r="D180" t="str">
        <f>D172</f>
        <v>Monday 6 March 2028</v>
      </c>
      <c r="E180" s="2">
        <f>VLOOKUP(D180,Semaine_ref_trim!$C$1:$E$372,2,FALSE)</f>
        <v>46818</v>
      </c>
      <c r="F180" s="2">
        <f>VLOOKUP(D180,Semaine_ref_trim!$C$1:$E$372,3,FALSE)</f>
        <v>46824</v>
      </c>
    </row>
    <row r="181" spans="1:6" x14ac:dyDescent="0.35">
      <c r="A181" t="s">
        <v>1467</v>
      </c>
      <c r="B181" s="8" t="s">
        <v>1466</v>
      </c>
      <c r="C181">
        <v>7</v>
      </c>
      <c r="D181" t="str">
        <f>D174</f>
        <v>Monday 20 March 2028</v>
      </c>
      <c r="E181" s="2">
        <f>VLOOKUP(D181,Semaine_ref_trim!$C$1:$E$372,2,FALSE)</f>
        <v>46832</v>
      </c>
      <c r="F181" s="2">
        <f>VLOOKUP(D181,Semaine_ref_trim!$C$1:$E$372,3,FALSE)</f>
        <v>46838</v>
      </c>
    </row>
    <row r="182" spans="1:6" x14ac:dyDescent="0.35">
      <c r="A182" t="s">
        <v>1474</v>
      </c>
      <c r="B182" s="8" t="s">
        <v>1464</v>
      </c>
      <c r="C182">
        <v>1</v>
      </c>
      <c r="D182" t="s">
        <v>1496</v>
      </c>
      <c r="E182" s="2">
        <f>VLOOKUP(D182,Semaine_ref_trim!$C$1:$E$372,2,FALSE)</f>
        <v>46839</v>
      </c>
      <c r="F182" s="2">
        <f>VLOOKUP(D182,Semaine_ref_trim!$C$1:$E$372,3,FALSE)</f>
        <v>46845</v>
      </c>
    </row>
    <row r="183" spans="1:6" x14ac:dyDescent="0.35">
      <c r="A183" t="s">
        <v>1474</v>
      </c>
      <c r="B183" s="8" t="s">
        <v>1464</v>
      </c>
      <c r="C183">
        <v>2</v>
      </c>
      <c r="D183" t="s">
        <v>1497</v>
      </c>
      <c r="E183" s="2">
        <f>VLOOKUP(D183,Semaine_ref_trim!$C$1:$E$372,2,FALSE)</f>
        <v>46846</v>
      </c>
      <c r="F183" s="2">
        <f>VLOOKUP(D183,Semaine_ref_trim!$C$1:$E$372,3,FALSE)</f>
        <v>46852</v>
      </c>
    </row>
    <row r="184" spans="1:6" x14ac:dyDescent="0.35">
      <c r="A184" t="s">
        <v>1474</v>
      </c>
      <c r="B184" s="8" t="s">
        <v>1464</v>
      </c>
      <c r="C184">
        <v>3</v>
      </c>
      <c r="D184" t="s">
        <v>1498</v>
      </c>
      <c r="E184" s="2">
        <f>VLOOKUP(D184,Semaine_ref_trim!$C$1:$E$372,2,FALSE)</f>
        <v>46853</v>
      </c>
      <c r="F184" s="2">
        <f>VLOOKUP(D184,Semaine_ref_trim!$C$1:$E$372,3,FALSE)</f>
        <v>46859</v>
      </c>
    </row>
    <row r="185" spans="1:6" x14ac:dyDescent="0.35">
      <c r="A185" t="s">
        <v>1474</v>
      </c>
      <c r="B185" s="8" t="s">
        <v>1464</v>
      </c>
      <c r="C185">
        <v>4</v>
      </c>
      <c r="D185" t="s">
        <v>1499</v>
      </c>
      <c r="E185" s="2">
        <f>VLOOKUP(D185,Semaine_ref_trim!$C$1:$E$372,2,FALSE)</f>
        <v>46860</v>
      </c>
      <c r="F185" s="2">
        <f>VLOOKUP(D185,Semaine_ref_trim!$C$1:$E$372,3,FALSE)</f>
        <v>46866</v>
      </c>
    </row>
    <row r="186" spans="1:6" x14ac:dyDescent="0.35">
      <c r="A186" t="s">
        <v>1474</v>
      </c>
      <c r="B186" s="8" t="s">
        <v>1464</v>
      </c>
      <c r="C186">
        <v>5</v>
      </c>
      <c r="D186" t="s">
        <v>1500</v>
      </c>
      <c r="E186" s="2">
        <f>VLOOKUP(D186,Semaine_ref_trim!$C$1:$E$372,2,FALSE)</f>
        <v>46867</v>
      </c>
      <c r="F186" s="2">
        <f>VLOOKUP(D186,Semaine_ref_trim!$C$1:$E$372,3,FALSE)</f>
        <v>46873</v>
      </c>
    </row>
    <row r="187" spans="1:6" x14ac:dyDescent="0.35">
      <c r="A187" t="s">
        <v>1474</v>
      </c>
      <c r="B187" s="8" t="s">
        <v>1464</v>
      </c>
      <c r="C187">
        <v>6</v>
      </c>
      <c r="D187" t="s">
        <v>1501</v>
      </c>
      <c r="E187" s="2">
        <f>VLOOKUP(D187,Semaine_ref_trim!$C$1:$E$372,2,FALSE)</f>
        <v>46874</v>
      </c>
      <c r="F187" s="2">
        <f>VLOOKUP(D187,Semaine_ref_trim!$C$1:$E$372,3,FALSE)</f>
        <v>46880</v>
      </c>
    </row>
    <row r="188" spans="1:6" x14ac:dyDescent="0.35">
      <c r="A188" t="s">
        <v>1474</v>
      </c>
      <c r="B188" s="8" t="s">
        <v>1464</v>
      </c>
      <c r="C188">
        <v>7</v>
      </c>
      <c r="D188" t="s">
        <v>1502</v>
      </c>
      <c r="E188" s="2">
        <f>VLOOKUP(D188,Semaine_ref_trim!$C$1:$E$372,2,FALSE)</f>
        <v>46881</v>
      </c>
      <c r="F188" s="2">
        <f>VLOOKUP(D188,Semaine_ref_trim!$C$1:$E$372,3,FALSE)</f>
        <v>46887</v>
      </c>
    </row>
    <row r="189" spans="1:6" x14ac:dyDescent="0.35">
      <c r="A189" t="s">
        <v>1474</v>
      </c>
      <c r="B189" s="8" t="s">
        <v>1464</v>
      </c>
      <c r="C189">
        <v>8</v>
      </c>
      <c r="D189" t="s">
        <v>1503</v>
      </c>
      <c r="E189" s="2">
        <f>VLOOKUP(D189,Semaine_ref_trim!$C$1:$E$372,2,FALSE)</f>
        <v>46888</v>
      </c>
      <c r="F189" s="2">
        <f>VLOOKUP(D189,Semaine_ref_trim!$C$1:$E$372,3,FALSE)</f>
        <v>46894</v>
      </c>
    </row>
    <row r="190" spans="1:6" x14ac:dyDescent="0.35">
      <c r="A190" t="s">
        <v>1474</v>
      </c>
      <c r="B190" s="8" t="s">
        <v>1464</v>
      </c>
      <c r="C190">
        <v>9</v>
      </c>
      <c r="D190" t="s">
        <v>1504</v>
      </c>
      <c r="E190" s="2">
        <f>VLOOKUP(D190,Semaine_ref_trim!$C$1:$E$372,2,FALSE)</f>
        <v>46895</v>
      </c>
      <c r="F190" s="2">
        <f>VLOOKUP(D190,Semaine_ref_trim!$C$1:$E$372,3,FALSE)</f>
        <v>46901</v>
      </c>
    </row>
    <row r="191" spans="1:6" x14ac:dyDescent="0.35">
      <c r="A191" t="s">
        <v>1474</v>
      </c>
      <c r="B191" s="8" t="s">
        <v>1464</v>
      </c>
      <c r="C191">
        <v>10</v>
      </c>
      <c r="D191" t="s">
        <v>1505</v>
      </c>
      <c r="E191" s="2">
        <f>VLOOKUP(D191,Semaine_ref_trim!$C$1:$E$372,2,FALSE)</f>
        <v>46902</v>
      </c>
      <c r="F191" s="2">
        <f>VLOOKUP(D191,Semaine_ref_trim!$C$1:$E$372,3,FALSE)</f>
        <v>46908</v>
      </c>
    </row>
    <row r="192" spans="1:6" x14ac:dyDescent="0.35">
      <c r="A192" t="s">
        <v>1474</v>
      </c>
      <c r="B192" s="8" t="s">
        <v>1464</v>
      </c>
      <c r="C192">
        <v>11</v>
      </c>
      <c r="D192" t="s">
        <v>1506</v>
      </c>
      <c r="E192" s="2">
        <f>VLOOKUP(D192,Semaine_ref_trim!$C$1:$E$372,2,FALSE)</f>
        <v>46909</v>
      </c>
      <c r="F192" s="2">
        <f>VLOOKUP(D192,Semaine_ref_trim!$C$1:$E$372,3,FALSE)</f>
        <v>46915</v>
      </c>
    </row>
    <row r="193" spans="1:6" x14ac:dyDescent="0.35">
      <c r="A193" t="s">
        <v>1474</v>
      </c>
      <c r="B193" s="8" t="s">
        <v>1464</v>
      </c>
      <c r="C193">
        <v>12</v>
      </c>
      <c r="D193" t="s">
        <v>1507</v>
      </c>
      <c r="E193" s="2">
        <f>VLOOKUP(D193,Semaine_ref_trim!$C$1:$E$372,2,FALSE)</f>
        <v>46916</v>
      </c>
      <c r="F193" s="2">
        <f>VLOOKUP(D193,Semaine_ref_trim!$C$1:$E$372,3,FALSE)</f>
        <v>46922</v>
      </c>
    </row>
    <row r="194" spans="1:6" x14ac:dyDescent="0.35">
      <c r="A194" t="s">
        <v>1474</v>
      </c>
      <c r="B194" s="8" t="s">
        <v>1464</v>
      </c>
      <c r="C194">
        <v>13</v>
      </c>
      <c r="D194" t="s">
        <v>1508</v>
      </c>
      <c r="E194" s="2">
        <f>VLOOKUP(D194,Semaine_ref_trim!$C$1:$E$372,2,FALSE)</f>
        <v>46923</v>
      </c>
      <c r="F194" s="2">
        <f>VLOOKUP(D194,Semaine_ref_trim!$C$1:$E$372,3,FALSE)</f>
        <v>46929</v>
      </c>
    </row>
    <row r="195" spans="1:6" x14ac:dyDescent="0.35">
      <c r="A195" t="s">
        <v>1474</v>
      </c>
      <c r="B195" s="8" t="s">
        <v>1466</v>
      </c>
      <c r="C195">
        <v>1</v>
      </c>
      <c r="D195" t="str">
        <f>D182</f>
        <v>Monday 27 March 2028</v>
      </c>
      <c r="E195" s="2">
        <f>VLOOKUP(D195,Semaine_ref_trim!$C$1:$E$372,2,FALSE)</f>
        <v>46839</v>
      </c>
      <c r="F195" s="2">
        <f>VLOOKUP(D195,Semaine_ref_trim!$C$1:$E$372,3,FALSE)</f>
        <v>46845</v>
      </c>
    </row>
    <row r="196" spans="1:6" x14ac:dyDescent="0.35">
      <c r="A196" t="s">
        <v>1474</v>
      </c>
      <c r="B196" s="8" t="s">
        <v>1466</v>
      </c>
      <c r="C196">
        <v>2</v>
      </c>
      <c r="D196" t="str">
        <f>D184</f>
        <v>Monday 10 April 2028</v>
      </c>
      <c r="E196" s="2">
        <f>VLOOKUP(D196,Semaine_ref_trim!$C$1:$E$372,2,FALSE)</f>
        <v>46853</v>
      </c>
      <c r="F196" s="2">
        <f>VLOOKUP(D196,Semaine_ref_trim!$C$1:$E$372,3,FALSE)</f>
        <v>46859</v>
      </c>
    </row>
    <row r="197" spans="1:6" x14ac:dyDescent="0.35">
      <c r="A197" t="s">
        <v>1474</v>
      </c>
      <c r="B197" s="8" t="s">
        <v>1466</v>
      </c>
      <c r="C197">
        <v>3</v>
      </c>
      <c r="D197" t="str">
        <f>D186</f>
        <v>Monday 24 April 2028</v>
      </c>
      <c r="E197" s="2">
        <f>VLOOKUP(D197,Semaine_ref_trim!$C$1:$E$372,2,FALSE)</f>
        <v>46867</v>
      </c>
      <c r="F197" s="2">
        <f>VLOOKUP(D197,Semaine_ref_trim!$C$1:$E$372,3,FALSE)</f>
        <v>46873</v>
      </c>
    </row>
    <row r="198" spans="1:6" x14ac:dyDescent="0.35">
      <c r="A198" t="s">
        <v>1474</v>
      </c>
      <c r="B198" s="8" t="s">
        <v>1466</v>
      </c>
      <c r="C198">
        <v>4</v>
      </c>
      <c r="D198" t="str">
        <f>D188</f>
        <v>Monday 8 May 2028</v>
      </c>
      <c r="E198" s="2">
        <f>VLOOKUP(D198,Semaine_ref_trim!$C$1:$E$372,2,FALSE)</f>
        <v>46881</v>
      </c>
      <c r="F198" s="2">
        <f>VLOOKUP(D198,Semaine_ref_trim!$C$1:$E$372,3,FALSE)</f>
        <v>46887</v>
      </c>
    </row>
    <row r="199" spans="1:6" x14ac:dyDescent="0.35">
      <c r="A199" t="s">
        <v>1474</v>
      </c>
      <c r="B199" s="8" t="s">
        <v>1466</v>
      </c>
      <c r="C199">
        <v>5</v>
      </c>
      <c r="D199" t="str">
        <f>D190</f>
        <v>Monday 22 May 2028</v>
      </c>
      <c r="E199" s="2">
        <f>VLOOKUP(D199,Semaine_ref_trim!$C$1:$E$372,2,FALSE)</f>
        <v>46895</v>
      </c>
      <c r="F199" s="2">
        <f>VLOOKUP(D199,Semaine_ref_trim!$C$1:$E$372,3,FALSE)</f>
        <v>46901</v>
      </c>
    </row>
    <row r="200" spans="1:6" x14ac:dyDescent="0.35">
      <c r="A200" t="s">
        <v>1474</v>
      </c>
      <c r="B200" s="8" t="s">
        <v>1466</v>
      </c>
      <c r="C200">
        <v>6</v>
      </c>
      <c r="D200" t="str">
        <f>D192</f>
        <v>Monday 5 June 2028</v>
      </c>
      <c r="E200" s="2">
        <f>VLOOKUP(D200,Semaine_ref_trim!$C$1:$E$372,2,FALSE)</f>
        <v>46909</v>
      </c>
      <c r="F200" s="2">
        <f>VLOOKUP(D200,Semaine_ref_trim!$C$1:$E$372,3,FALSE)</f>
        <v>46915</v>
      </c>
    </row>
    <row r="201" spans="1:6" x14ac:dyDescent="0.35">
      <c r="A201" t="s">
        <v>1474</v>
      </c>
      <c r="B201" s="8" t="s">
        <v>1466</v>
      </c>
      <c r="C201">
        <v>7</v>
      </c>
      <c r="D201" t="str">
        <f>D194</f>
        <v>Monday 19 June 2028</v>
      </c>
      <c r="E201" s="2">
        <f>VLOOKUP(D201,Semaine_ref_trim!$C$1:$E$372,2,FALSE)</f>
        <v>46923</v>
      </c>
      <c r="F201" s="2">
        <f>VLOOKUP(D201,Semaine_ref_trim!$C$1:$E$372,3,FALSE)</f>
        <v>46929</v>
      </c>
    </row>
    <row r="202" spans="1:6" x14ac:dyDescent="0.35">
      <c r="A202" t="s">
        <v>1477</v>
      </c>
      <c r="B202" s="8" t="s">
        <v>1464</v>
      </c>
      <c r="C202">
        <v>1</v>
      </c>
      <c r="D202" t="s">
        <v>1509</v>
      </c>
      <c r="E202" s="2">
        <f>VLOOKUP(D202,Semaine_ref_trim!$C$1:$E$372,2,FALSE)</f>
        <v>46930</v>
      </c>
      <c r="F202" s="2">
        <f>VLOOKUP(D202,Semaine_ref_trim!$C$1:$E$372,3,FALSE)</f>
        <v>46936</v>
      </c>
    </row>
    <row r="203" spans="1:6" x14ac:dyDescent="0.35">
      <c r="A203" t="s">
        <v>1477</v>
      </c>
      <c r="B203" s="8" t="s">
        <v>1464</v>
      </c>
      <c r="C203">
        <v>2</v>
      </c>
      <c r="D203" t="s">
        <v>1510</v>
      </c>
      <c r="E203" s="2">
        <f>VLOOKUP(D203,Semaine_ref_trim!$C$1:$E$372,2,FALSE)</f>
        <v>46937</v>
      </c>
      <c r="F203" s="2">
        <f>VLOOKUP(D203,Semaine_ref_trim!$C$1:$E$372,3,FALSE)</f>
        <v>46943</v>
      </c>
    </row>
    <row r="204" spans="1:6" x14ac:dyDescent="0.35">
      <c r="A204" t="s">
        <v>1477</v>
      </c>
      <c r="B204" s="8" t="s">
        <v>1464</v>
      </c>
      <c r="C204">
        <v>3</v>
      </c>
      <c r="D204" t="s">
        <v>1511</v>
      </c>
      <c r="E204" s="2">
        <f>VLOOKUP(D204,Semaine_ref_trim!$C$1:$E$372,2,FALSE)</f>
        <v>46944</v>
      </c>
      <c r="F204" s="2">
        <f>VLOOKUP(D204,Semaine_ref_trim!$C$1:$E$372,3,FALSE)</f>
        <v>46950</v>
      </c>
    </row>
    <row r="205" spans="1:6" x14ac:dyDescent="0.35">
      <c r="A205" t="s">
        <v>1477</v>
      </c>
      <c r="B205" s="8" t="s">
        <v>1464</v>
      </c>
      <c r="C205">
        <v>4</v>
      </c>
      <c r="D205" t="s">
        <v>1512</v>
      </c>
      <c r="E205" s="2">
        <f>VLOOKUP(D205,Semaine_ref_trim!$C$1:$E$372,2,FALSE)</f>
        <v>46951</v>
      </c>
      <c r="F205" s="2">
        <f>VLOOKUP(D205,Semaine_ref_trim!$C$1:$E$372,3,FALSE)</f>
        <v>46957</v>
      </c>
    </row>
    <row r="206" spans="1:6" x14ac:dyDescent="0.35">
      <c r="A206" t="s">
        <v>1477</v>
      </c>
      <c r="B206" s="8" t="s">
        <v>1464</v>
      </c>
      <c r="C206">
        <v>5</v>
      </c>
      <c r="D206" t="s">
        <v>1513</v>
      </c>
      <c r="E206" s="2">
        <f>VLOOKUP(D206,Semaine_ref_trim!$C$1:$E$372,2,FALSE)</f>
        <v>46958</v>
      </c>
      <c r="F206" s="2">
        <f>VLOOKUP(D206,Semaine_ref_trim!$C$1:$E$372,3,FALSE)</f>
        <v>46964</v>
      </c>
    </row>
    <row r="207" spans="1:6" x14ac:dyDescent="0.35">
      <c r="A207" t="s">
        <v>1477</v>
      </c>
      <c r="B207" s="8" t="s">
        <v>1464</v>
      </c>
      <c r="C207">
        <v>6</v>
      </c>
      <c r="D207" t="s">
        <v>1514</v>
      </c>
      <c r="E207" s="2">
        <f>VLOOKUP(D207,Semaine_ref_trim!$C$1:$E$372,2,FALSE)</f>
        <v>46965</v>
      </c>
      <c r="F207" s="2">
        <f>VLOOKUP(D207,Semaine_ref_trim!$C$1:$E$372,3,FALSE)</f>
        <v>46971</v>
      </c>
    </row>
    <row r="208" spans="1:6" x14ac:dyDescent="0.35">
      <c r="A208" t="s">
        <v>1477</v>
      </c>
      <c r="B208" s="8" t="s">
        <v>1464</v>
      </c>
      <c r="C208">
        <v>7</v>
      </c>
      <c r="D208" t="s">
        <v>1515</v>
      </c>
      <c r="E208" s="2">
        <f>VLOOKUP(D208,Semaine_ref_trim!$C$1:$E$372,2,FALSE)</f>
        <v>46972</v>
      </c>
      <c r="F208" s="2">
        <f>VLOOKUP(D208,Semaine_ref_trim!$C$1:$E$372,3,FALSE)</f>
        <v>46978</v>
      </c>
    </row>
    <row r="209" spans="1:6" x14ac:dyDescent="0.35">
      <c r="A209" t="s">
        <v>1477</v>
      </c>
      <c r="B209" s="8" t="s">
        <v>1464</v>
      </c>
      <c r="C209">
        <v>8</v>
      </c>
      <c r="D209" t="s">
        <v>1516</v>
      </c>
      <c r="E209" s="2">
        <f>VLOOKUP(D209,Semaine_ref_trim!$C$1:$E$372,2,FALSE)</f>
        <v>46979</v>
      </c>
      <c r="F209" s="2">
        <f>VLOOKUP(D209,Semaine_ref_trim!$C$1:$E$372,3,FALSE)</f>
        <v>46985</v>
      </c>
    </row>
    <row r="210" spans="1:6" x14ac:dyDescent="0.35">
      <c r="A210" t="s">
        <v>1477</v>
      </c>
      <c r="B210" s="8" t="s">
        <v>1464</v>
      </c>
      <c r="C210">
        <v>9</v>
      </c>
      <c r="D210" t="s">
        <v>1517</v>
      </c>
      <c r="E210" s="2">
        <f>VLOOKUP(D210,Semaine_ref_trim!$C$1:$E$372,2,FALSE)</f>
        <v>46986</v>
      </c>
      <c r="F210" s="2">
        <f>VLOOKUP(D210,Semaine_ref_trim!$C$1:$E$372,3,FALSE)</f>
        <v>46992</v>
      </c>
    </row>
    <row r="211" spans="1:6" x14ac:dyDescent="0.35">
      <c r="A211" t="s">
        <v>1477</v>
      </c>
      <c r="B211" s="8" t="s">
        <v>1464</v>
      </c>
      <c r="C211">
        <v>10</v>
      </c>
      <c r="D211" t="s">
        <v>1518</v>
      </c>
      <c r="E211" s="2">
        <f>VLOOKUP(D211,Semaine_ref_trim!$C$1:$E$372,2,FALSE)</f>
        <v>46993</v>
      </c>
      <c r="F211" s="2">
        <f>VLOOKUP(D211,Semaine_ref_trim!$C$1:$E$372,3,FALSE)</f>
        <v>46999</v>
      </c>
    </row>
    <row r="212" spans="1:6" x14ac:dyDescent="0.35">
      <c r="A212" t="s">
        <v>1477</v>
      </c>
      <c r="B212" s="8" t="s">
        <v>1464</v>
      </c>
      <c r="C212">
        <v>11</v>
      </c>
      <c r="D212" t="s">
        <v>1519</v>
      </c>
      <c r="E212" s="2">
        <f>VLOOKUP(D212,Semaine_ref_trim!$C$1:$E$372,2,FALSE)</f>
        <v>47000</v>
      </c>
      <c r="F212" s="2">
        <f>VLOOKUP(D212,Semaine_ref_trim!$C$1:$E$372,3,FALSE)</f>
        <v>47006</v>
      </c>
    </row>
    <row r="213" spans="1:6" x14ac:dyDescent="0.35">
      <c r="A213" t="s">
        <v>1477</v>
      </c>
      <c r="B213" s="8" t="s">
        <v>1464</v>
      </c>
      <c r="C213">
        <v>12</v>
      </c>
      <c r="D213" t="s">
        <v>1520</v>
      </c>
      <c r="E213" s="2">
        <f>VLOOKUP(D213,Semaine_ref_trim!$C$1:$E$372,2,FALSE)</f>
        <v>47007</v>
      </c>
      <c r="F213" s="2">
        <f>VLOOKUP(D213,Semaine_ref_trim!$C$1:$E$372,3,FALSE)</f>
        <v>47013</v>
      </c>
    </row>
    <row r="214" spans="1:6" x14ac:dyDescent="0.35">
      <c r="A214" t="s">
        <v>1477</v>
      </c>
      <c r="B214" s="8" t="s">
        <v>1464</v>
      </c>
      <c r="C214">
        <v>13</v>
      </c>
      <c r="D214" t="s">
        <v>1521</v>
      </c>
      <c r="E214" s="2">
        <f>VLOOKUP(D214,Semaine_ref_trim!$C$1:$E$372,2,FALSE)</f>
        <v>47014</v>
      </c>
      <c r="F214" s="2">
        <f>VLOOKUP(D214,Semaine_ref_trim!$C$1:$E$372,3,FALSE)</f>
        <v>47020</v>
      </c>
    </row>
    <row r="215" spans="1:6" x14ac:dyDescent="0.35">
      <c r="A215" t="s">
        <v>1477</v>
      </c>
      <c r="B215" s="8" t="s">
        <v>1466</v>
      </c>
      <c r="C215">
        <v>1</v>
      </c>
      <c r="D215" t="str">
        <f>D202</f>
        <v>Monday 26 June 2028</v>
      </c>
      <c r="E215" s="2">
        <f>VLOOKUP(D215,Semaine_ref_trim!$C$1:$E$372,2,FALSE)</f>
        <v>46930</v>
      </c>
      <c r="F215" s="2">
        <f>VLOOKUP(D215,Semaine_ref_trim!$C$1:$E$372,3,FALSE)</f>
        <v>46936</v>
      </c>
    </row>
    <row r="216" spans="1:6" x14ac:dyDescent="0.35">
      <c r="A216" t="s">
        <v>1477</v>
      </c>
      <c r="B216" s="8" t="s">
        <v>1466</v>
      </c>
      <c r="C216">
        <v>2</v>
      </c>
      <c r="D216" t="str">
        <f>D204</f>
        <v>Monday 10 July 2028</v>
      </c>
      <c r="E216" s="2">
        <f>VLOOKUP(D216,Semaine_ref_trim!$C$1:$E$372,2,FALSE)</f>
        <v>46944</v>
      </c>
      <c r="F216" s="2">
        <f>VLOOKUP(D216,Semaine_ref_trim!$C$1:$E$372,3,FALSE)</f>
        <v>46950</v>
      </c>
    </row>
    <row r="217" spans="1:6" x14ac:dyDescent="0.35">
      <c r="A217" t="s">
        <v>1477</v>
      </c>
      <c r="B217" s="8" t="s">
        <v>1466</v>
      </c>
      <c r="C217">
        <v>3</v>
      </c>
      <c r="D217" t="str">
        <f>D206</f>
        <v>Monday 24 July 2028</v>
      </c>
      <c r="E217" s="2">
        <f>VLOOKUP(D217,Semaine_ref_trim!$C$1:$E$372,2,FALSE)</f>
        <v>46958</v>
      </c>
      <c r="F217" s="2">
        <f>VLOOKUP(D217,Semaine_ref_trim!$C$1:$E$372,3,FALSE)</f>
        <v>46964</v>
      </c>
    </row>
    <row r="218" spans="1:6" x14ac:dyDescent="0.35">
      <c r="A218" t="s">
        <v>1477</v>
      </c>
      <c r="B218" s="8" t="s">
        <v>1466</v>
      </c>
      <c r="C218">
        <v>4</v>
      </c>
      <c r="D218" t="str">
        <f>D208</f>
        <v>Monday 7 August 2028</v>
      </c>
      <c r="E218" s="2">
        <f>VLOOKUP(D218,Semaine_ref_trim!$C$1:$E$372,2,FALSE)</f>
        <v>46972</v>
      </c>
      <c r="F218" s="2">
        <f>VLOOKUP(D218,Semaine_ref_trim!$C$1:$E$372,3,FALSE)</f>
        <v>46978</v>
      </c>
    </row>
    <row r="219" spans="1:6" x14ac:dyDescent="0.35">
      <c r="A219" t="s">
        <v>1477</v>
      </c>
      <c r="B219" s="8" t="s">
        <v>1466</v>
      </c>
      <c r="C219">
        <v>5</v>
      </c>
      <c r="D219" t="str">
        <f>D210</f>
        <v>Monday 21 August 2028</v>
      </c>
      <c r="E219" s="2">
        <f>VLOOKUP(D219,Semaine_ref_trim!$C$1:$E$372,2,FALSE)</f>
        <v>46986</v>
      </c>
      <c r="F219" s="2">
        <f>VLOOKUP(D219,Semaine_ref_trim!$C$1:$E$372,3,FALSE)</f>
        <v>46992</v>
      </c>
    </row>
    <row r="220" spans="1:6" x14ac:dyDescent="0.35">
      <c r="A220" t="s">
        <v>1477</v>
      </c>
      <c r="B220" s="8" t="s">
        <v>1466</v>
      </c>
      <c r="C220">
        <v>6</v>
      </c>
      <c r="D220" t="str">
        <f>D212</f>
        <v>Monday 4 September 2028</v>
      </c>
      <c r="E220" s="2">
        <f>VLOOKUP(D220,Semaine_ref_trim!$C$1:$E$372,2,FALSE)</f>
        <v>47000</v>
      </c>
      <c r="F220" s="2">
        <f>VLOOKUP(D220,Semaine_ref_trim!$C$1:$E$372,3,FALSE)</f>
        <v>47006</v>
      </c>
    </row>
    <row r="221" spans="1:6" x14ac:dyDescent="0.35">
      <c r="A221" t="s">
        <v>1477</v>
      </c>
      <c r="B221" s="8" t="s">
        <v>1466</v>
      </c>
      <c r="C221">
        <v>7</v>
      </c>
      <c r="D221" t="str">
        <f>D214</f>
        <v>Monday 18 September 2028</v>
      </c>
      <c r="E221" s="2">
        <f>VLOOKUP(D221,Semaine_ref_trim!$C$1:$E$372,2,FALSE)</f>
        <v>47014</v>
      </c>
      <c r="F221" s="2">
        <f>VLOOKUP(D221,Semaine_ref_trim!$C$1:$E$372,3,FALSE)</f>
        <v>47020</v>
      </c>
    </row>
    <row r="222" spans="1:6" x14ac:dyDescent="0.35">
      <c r="A222" t="s">
        <v>1480</v>
      </c>
      <c r="B222" s="8" t="s">
        <v>1464</v>
      </c>
      <c r="C222">
        <v>1</v>
      </c>
      <c r="D222" t="s">
        <v>1522</v>
      </c>
      <c r="E222" s="2">
        <f>VLOOKUP(D222,Semaine_ref_trim!$C$1:$E$372,2,FALSE)</f>
        <v>47021</v>
      </c>
      <c r="F222" s="2">
        <f>VLOOKUP(D222,Semaine_ref_trim!$C$1:$E$372,3,FALSE)</f>
        <v>47027</v>
      </c>
    </row>
    <row r="223" spans="1:6" x14ac:dyDescent="0.35">
      <c r="A223" t="s">
        <v>1480</v>
      </c>
      <c r="B223" s="8" t="s">
        <v>1464</v>
      </c>
      <c r="C223">
        <v>2</v>
      </c>
      <c r="D223" t="s">
        <v>1523</v>
      </c>
      <c r="E223" s="2">
        <f>VLOOKUP(D223,Semaine_ref_trim!$C$1:$E$372,2,FALSE)</f>
        <v>47028</v>
      </c>
      <c r="F223" s="2">
        <f>VLOOKUP(D223,Semaine_ref_trim!$C$1:$E$372,3,FALSE)</f>
        <v>47034</v>
      </c>
    </row>
    <row r="224" spans="1:6" x14ac:dyDescent="0.35">
      <c r="A224" t="s">
        <v>1480</v>
      </c>
      <c r="B224" s="8" t="s">
        <v>1464</v>
      </c>
      <c r="C224">
        <v>3</v>
      </c>
      <c r="D224" t="s">
        <v>1524</v>
      </c>
      <c r="E224" s="2">
        <f>VLOOKUP(D224,Semaine_ref_trim!$C$1:$E$372,2,FALSE)</f>
        <v>47035</v>
      </c>
      <c r="F224" s="2">
        <f>VLOOKUP(D224,Semaine_ref_trim!$C$1:$E$372,3,FALSE)</f>
        <v>47041</v>
      </c>
    </row>
    <row r="225" spans="1:6" x14ac:dyDescent="0.35">
      <c r="A225" t="s">
        <v>1480</v>
      </c>
      <c r="B225" s="8" t="s">
        <v>1464</v>
      </c>
      <c r="C225">
        <v>4</v>
      </c>
      <c r="D225" t="s">
        <v>1525</v>
      </c>
      <c r="E225" s="2">
        <f>VLOOKUP(D225,Semaine_ref_trim!$C$1:$E$372,2,FALSE)</f>
        <v>47042</v>
      </c>
      <c r="F225" s="2">
        <f>VLOOKUP(D225,Semaine_ref_trim!$C$1:$E$372,3,FALSE)</f>
        <v>47048</v>
      </c>
    </row>
    <row r="226" spans="1:6" x14ac:dyDescent="0.35">
      <c r="A226" t="s">
        <v>1480</v>
      </c>
      <c r="B226" s="8" t="s">
        <v>1464</v>
      </c>
      <c r="C226">
        <v>5</v>
      </c>
      <c r="D226" t="s">
        <v>1526</v>
      </c>
      <c r="E226" s="2">
        <f>VLOOKUP(D226,Semaine_ref_trim!$C$1:$E$372,2,FALSE)</f>
        <v>47049</v>
      </c>
      <c r="F226" s="2">
        <f>VLOOKUP(D226,Semaine_ref_trim!$C$1:$E$372,3,FALSE)</f>
        <v>47055</v>
      </c>
    </row>
    <row r="227" spans="1:6" x14ac:dyDescent="0.35">
      <c r="A227" t="s">
        <v>1480</v>
      </c>
      <c r="B227" s="8" t="s">
        <v>1464</v>
      </c>
      <c r="C227">
        <v>6</v>
      </c>
      <c r="D227" t="s">
        <v>1527</v>
      </c>
      <c r="E227" s="2">
        <f>VLOOKUP(D227,Semaine_ref_trim!$C$1:$E$372,2,FALSE)</f>
        <v>47056</v>
      </c>
      <c r="F227" s="2">
        <f>VLOOKUP(D227,Semaine_ref_trim!$C$1:$E$372,3,FALSE)</f>
        <v>47062</v>
      </c>
    </row>
    <row r="228" spans="1:6" x14ac:dyDescent="0.35">
      <c r="A228" t="s">
        <v>1480</v>
      </c>
      <c r="B228" s="8" t="s">
        <v>1464</v>
      </c>
      <c r="C228">
        <v>7</v>
      </c>
      <c r="D228" t="s">
        <v>1528</v>
      </c>
      <c r="E228" s="2">
        <f>VLOOKUP(D228,Semaine_ref_trim!$C$1:$E$372,2,FALSE)</f>
        <v>47063</v>
      </c>
      <c r="F228" s="2">
        <f>VLOOKUP(D228,Semaine_ref_trim!$C$1:$E$372,3,FALSE)</f>
        <v>47069</v>
      </c>
    </row>
    <row r="229" spans="1:6" x14ac:dyDescent="0.35">
      <c r="A229" t="s">
        <v>1480</v>
      </c>
      <c r="B229" s="8" t="s">
        <v>1464</v>
      </c>
      <c r="C229">
        <v>8</v>
      </c>
      <c r="D229" t="s">
        <v>1529</v>
      </c>
      <c r="E229" s="2">
        <f>VLOOKUP(D229,Semaine_ref_trim!$C$1:$E$372,2,FALSE)</f>
        <v>47070</v>
      </c>
      <c r="F229" s="2">
        <f>VLOOKUP(D229,Semaine_ref_trim!$C$1:$E$372,3,FALSE)</f>
        <v>47076</v>
      </c>
    </row>
    <row r="230" spans="1:6" x14ac:dyDescent="0.35">
      <c r="A230" t="s">
        <v>1480</v>
      </c>
      <c r="B230" s="8" t="s">
        <v>1464</v>
      </c>
      <c r="C230">
        <v>9</v>
      </c>
      <c r="D230" t="s">
        <v>1530</v>
      </c>
      <c r="E230" s="2">
        <f>VLOOKUP(D230,Semaine_ref_trim!$C$1:$E$372,2,FALSE)</f>
        <v>47077</v>
      </c>
      <c r="F230" s="2">
        <f>VLOOKUP(D230,Semaine_ref_trim!$C$1:$E$372,3,FALSE)</f>
        <v>47083</v>
      </c>
    </row>
    <row r="231" spans="1:6" x14ac:dyDescent="0.35">
      <c r="A231" t="s">
        <v>1480</v>
      </c>
      <c r="B231" s="8" t="s">
        <v>1464</v>
      </c>
      <c r="C231">
        <v>10</v>
      </c>
      <c r="D231" t="s">
        <v>1531</v>
      </c>
      <c r="E231" s="2">
        <f>VLOOKUP(D231,Semaine_ref_trim!$C$1:$E$372,2,FALSE)</f>
        <v>47084</v>
      </c>
      <c r="F231" s="2">
        <f>VLOOKUP(D231,Semaine_ref_trim!$C$1:$E$372,3,FALSE)</f>
        <v>47090</v>
      </c>
    </row>
    <row r="232" spans="1:6" x14ac:dyDescent="0.35">
      <c r="A232" t="s">
        <v>1480</v>
      </c>
      <c r="B232" s="8" t="s">
        <v>1464</v>
      </c>
      <c r="C232">
        <v>11</v>
      </c>
      <c r="D232" t="s">
        <v>1532</v>
      </c>
      <c r="E232" s="2">
        <f>VLOOKUP(D232,Semaine_ref_trim!$C$1:$E$372,2,FALSE)</f>
        <v>47091</v>
      </c>
      <c r="F232" s="2">
        <f>VLOOKUP(D232,Semaine_ref_trim!$C$1:$E$372,3,FALSE)</f>
        <v>47097</v>
      </c>
    </row>
    <row r="233" spans="1:6" x14ac:dyDescent="0.35">
      <c r="A233" t="s">
        <v>1480</v>
      </c>
      <c r="B233" s="8" t="s">
        <v>1464</v>
      </c>
      <c r="C233">
        <v>12</v>
      </c>
      <c r="D233" t="s">
        <v>1533</v>
      </c>
      <c r="E233" s="2">
        <f>VLOOKUP(D233,Semaine_ref_trim!$C$1:$E$372,2,FALSE)</f>
        <v>47098</v>
      </c>
      <c r="F233" s="2">
        <f>VLOOKUP(D233,Semaine_ref_trim!$C$1:$E$372,3,FALSE)</f>
        <v>47104</v>
      </c>
    </row>
    <row r="234" spans="1:6" x14ac:dyDescent="0.35">
      <c r="A234" t="s">
        <v>1480</v>
      </c>
      <c r="B234" s="8" t="s">
        <v>1464</v>
      </c>
      <c r="C234">
        <v>13</v>
      </c>
      <c r="D234" t="s">
        <v>1534</v>
      </c>
      <c r="E234" s="2">
        <f>VLOOKUP(D234,Semaine_ref_trim!$C$1:$E$372,2,FALSE)</f>
        <v>47105</v>
      </c>
      <c r="F234" s="2">
        <f>VLOOKUP(D234,Semaine_ref_trim!$C$1:$E$372,3,FALSE)</f>
        <v>47111</v>
      </c>
    </row>
    <row r="235" spans="1:6" x14ac:dyDescent="0.35">
      <c r="A235" t="s">
        <v>1480</v>
      </c>
      <c r="B235" s="8" t="s">
        <v>1466</v>
      </c>
      <c r="C235">
        <v>1</v>
      </c>
      <c r="D235" t="str">
        <f>D222</f>
        <v>Monday 25 September 2028</v>
      </c>
      <c r="E235" s="2">
        <f>VLOOKUP(D235,Semaine_ref_trim!$C$1:$E$372,2,FALSE)</f>
        <v>47021</v>
      </c>
      <c r="F235" s="2">
        <f>VLOOKUP(D235,Semaine_ref_trim!$C$1:$E$372,3,FALSE)</f>
        <v>47027</v>
      </c>
    </row>
    <row r="236" spans="1:6" x14ac:dyDescent="0.35">
      <c r="A236" t="s">
        <v>1480</v>
      </c>
      <c r="B236" s="8" t="s">
        <v>1466</v>
      </c>
      <c r="C236">
        <v>2</v>
      </c>
      <c r="D236" t="str">
        <f>D224</f>
        <v>Monday 9 October 2028</v>
      </c>
      <c r="E236" s="2">
        <f>VLOOKUP(D236,Semaine_ref_trim!$C$1:$E$372,2,FALSE)</f>
        <v>47035</v>
      </c>
      <c r="F236" s="2">
        <f>VLOOKUP(D236,Semaine_ref_trim!$C$1:$E$372,3,FALSE)</f>
        <v>47041</v>
      </c>
    </row>
    <row r="237" spans="1:6" x14ac:dyDescent="0.35">
      <c r="A237" t="s">
        <v>1480</v>
      </c>
      <c r="B237" s="8" t="s">
        <v>1466</v>
      </c>
      <c r="C237">
        <v>3</v>
      </c>
      <c r="D237" t="str">
        <f>D226</f>
        <v>Monday 23 October 2028</v>
      </c>
      <c r="E237" s="2">
        <f>VLOOKUP(D237,Semaine_ref_trim!$C$1:$E$372,2,FALSE)</f>
        <v>47049</v>
      </c>
      <c r="F237" s="2">
        <f>VLOOKUP(D237,Semaine_ref_trim!$C$1:$E$372,3,FALSE)</f>
        <v>47055</v>
      </c>
    </row>
    <row r="238" spans="1:6" x14ac:dyDescent="0.35">
      <c r="A238" t="s">
        <v>1480</v>
      </c>
      <c r="B238" s="8" t="s">
        <v>1466</v>
      </c>
      <c r="C238">
        <v>4</v>
      </c>
      <c r="D238" t="str">
        <f>D228</f>
        <v>Monday 6 November 2028</v>
      </c>
      <c r="E238" s="2">
        <f>VLOOKUP(D238,Semaine_ref_trim!$C$1:$E$372,2,FALSE)</f>
        <v>47063</v>
      </c>
      <c r="F238" s="2">
        <f>VLOOKUP(D238,Semaine_ref_trim!$C$1:$E$372,3,FALSE)</f>
        <v>47069</v>
      </c>
    </row>
    <row r="239" spans="1:6" x14ac:dyDescent="0.35">
      <c r="A239" t="s">
        <v>1480</v>
      </c>
      <c r="B239" s="8" t="s">
        <v>1466</v>
      </c>
      <c r="C239">
        <v>5</v>
      </c>
      <c r="D239" t="str">
        <f>D230</f>
        <v>Monday 20 November 2028</v>
      </c>
      <c r="E239" s="2">
        <f>VLOOKUP(D239,Semaine_ref_trim!$C$1:$E$372,2,FALSE)</f>
        <v>47077</v>
      </c>
      <c r="F239" s="2">
        <f>VLOOKUP(D239,Semaine_ref_trim!$C$1:$E$372,3,FALSE)</f>
        <v>47083</v>
      </c>
    </row>
    <row r="240" spans="1:6" x14ac:dyDescent="0.35">
      <c r="A240" t="s">
        <v>1480</v>
      </c>
      <c r="B240" s="8" t="s">
        <v>1466</v>
      </c>
      <c r="C240">
        <v>6</v>
      </c>
      <c r="D240" t="str">
        <f>D232</f>
        <v>Monday 4 December 2028</v>
      </c>
      <c r="E240" s="2">
        <f>VLOOKUP(D240,Semaine_ref_trim!$C$1:$E$372,2,FALSE)</f>
        <v>47091</v>
      </c>
      <c r="F240" s="2">
        <f>VLOOKUP(D240,Semaine_ref_trim!$C$1:$E$372,3,FALSE)</f>
        <v>47097</v>
      </c>
    </row>
    <row r="241" spans="1:6" x14ac:dyDescent="0.35">
      <c r="A241" t="s">
        <v>1480</v>
      </c>
      <c r="B241" s="8" t="s">
        <v>1466</v>
      </c>
      <c r="C241">
        <v>7</v>
      </c>
      <c r="D241" t="str">
        <f>D234</f>
        <v>Monday 18 December 2028</v>
      </c>
      <c r="E241" s="2">
        <f>VLOOKUP(D241,Semaine_ref_trim!$C$1:$E$372,2,FALSE)</f>
        <v>47105</v>
      </c>
      <c r="F241" s="2">
        <f>VLOOKUP(D241,Semaine_ref_trim!$C$1:$E$372,3,FALSE)</f>
        <v>47111</v>
      </c>
    </row>
    <row r="242" spans="1:6" x14ac:dyDescent="0.35">
      <c r="A242" t="s">
        <v>1468</v>
      </c>
      <c r="B242" s="8" t="s">
        <v>1464</v>
      </c>
      <c r="C242">
        <v>1</v>
      </c>
      <c r="D242" t="s">
        <v>1535</v>
      </c>
      <c r="E242" s="2">
        <f>VLOOKUP(D242,Semaine_ref_trim!$C$1:$E$372,2,FALSE)</f>
        <v>47112</v>
      </c>
      <c r="F242" s="2">
        <f>VLOOKUP(D242,Semaine_ref_trim!$C$1:$E$372,3,FALSE)</f>
        <v>47118</v>
      </c>
    </row>
    <row r="243" spans="1:6" x14ac:dyDescent="0.35">
      <c r="A243" t="s">
        <v>1468</v>
      </c>
      <c r="B243" s="8" t="s">
        <v>1464</v>
      </c>
      <c r="C243">
        <v>2</v>
      </c>
      <c r="D243" t="s">
        <v>1536</v>
      </c>
      <c r="E243" s="2">
        <f>VLOOKUP(D243,Semaine_ref_trim!$C$1:$E$372,2,FALSE)</f>
        <v>47119</v>
      </c>
      <c r="F243" s="2">
        <f>VLOOKUP(D243,Semaine_ref_trim!$C$1:$E$372,3,FALSE)</f>
        <v>47125</v>
      </c>
    </row>
    <row r="244" spans="1:6" x14ac:dyDescent="0.35">
      <c r="A244" t="s">
        <v>1468</v>
      </c>
      <c r="B244" s="8" t="s">
        <v>1464</v>
      </c>
      <c r="C244">
        <v>3</v>
      </c>
      <c r="D244" t="s">
        <v>1537</v>
      </c>
      <c r="E244" s="2">
        <f>VLOOKUP(D244,Semaine_ref_trim!$C$1:$E$372,2,FALSE)</f>
        <v>47126</v>
      </c>
      <c r="F244" s="2">
        <f>VLOOKUP(D244,Semaine_ref_trim!$C$1:$E$372,3,FALSE)</f>
        <v>47132</v>
      </c>
    </row>
    <row r="245" spans="1:6" x14ac:dyDescent="0.35">
      <c r="A245" t="s">
        <v>1468</v>
      </c>
      <c r="B245" s="8" t="s">
        <v>1464</v>
      </c>
      <c r="C245">
        <v>4</v>
      </c>
      <c r="D245" t="s">
        <v>1538</v>
      </c>
      <c r="E245" s="2">
        <f>VLOOKUP(D245,Semaine_ref_trim!$C$1:$E$372,2,FALSE)</f>
        <v>47133</v>
      </c>
      <c r="F245" s="2">
        <f>VLOOKUP(D245,Semaine_ref_trim!$C$1:$E$372,3,FALSE)</f>
        <v>47139</v>
      </c>
    </row>
    <row r="246" spans="1:6" x14ac:dyDescent="0.35">
      <c r="A246" t="s">
        <v>1468</v>
      </c>
      <c r="B246" s="8" t="s">
        <v>1464</v>
      </c>
      <c r="C246">
        <v>5</v>
      </c>
      <c r="D246" t="s">
        <v>1539</v>
      </c>
      <c r="E246" s="2">
        <f>VLOOKUP(D246,Semaine_ref_trim!$C$1:$E$372,2,FALSE)</f>
        <v>47140</v>
      </c>
      <c r="F246" s="2">
        <f>VLOOKUP(D246,Semaine_ref_trim!$C$1:$E$372,3,FALSE)</f>
        <v>47146</v>
      </c>
    </row>
    <row r="247" spans="1:6" x14ac:dyDescent="0.35">
      <c r="A247" t="s">
        <v>1468</v>
      </c>
      <c r="B247" s="8" t="s">
        <v>1464</v>
      </c>
      <c r="C247">
        <v>6</v>
      </c>
      <c r="D247" t="s">
        <v>1540</v>
      </c>
      <c r="E247" s="2">
        <f>VLOOKUP(D247,Semaine_ref_trim!$C$1:$E$372,2,FALSE)</f>
        <v>47147</v>
      </c>
      <c r="F247" s="2">
        <f>VLOOKUP(D247,Semaine_ref_trim!$C$1:$E$372,3,FALSE)</f>
        <v>47153</v>
      </c>
    </row>
    <row r="248" spans="1:6" x14ac:dyDescent="0.35">
      <c r="A248" t="s">
        <v>1468</v>
      </c>
      <c r="B248" s="8" t="s">
        <v>1464</v>
      </c>
      <c r="C248">
        <v>7</v>
      </c>
      <c r="D248" t="s">
        <v>1541</v>
      </c>
      <c r="E248" s="2">
        <f>VLOOKUP(D248,Semaine_ref_trim!$C$1:$E$372,2,FALSE)</f>
        <v>47154</v>
      </c>
      <c r="F248" s="2">
        <f>VLOOKUP(D248,Semaine_ref_trim!$C$1:$E$372,3,FALSE)</f>
        <v>47160</v>
      </c>
    </row>
    <row r="249" spans="1:6" x14ac:dyDescent="0.35">
      <c r="A249" t="s">
        <v>1468</v>
      </c>
      <c r="B249" s="8" t="s">
        <v>1464</v>
      </c>
      <c r="C249">
        <v>8</v>
      </c>
      <c r="D249" t="s">
        <v>1542</v>
      </c>
      <c r="E249" s="2">
        <f>VLOOKUP(D249,Semaine_ref_trim!$C$1:$E$372,2,FALSE)</f>
        <v>47161</v>
      </c>
      <c r="F249" s="2">
        <f>VLOOKUP(D249,Semaine_ref_trim!$C$1:$E$372,3,FALSE)</f>
        <v>47167</v>
      </c>
    </row>
    <row r="250" spans="1:6" x14ac:dyDescent="0.35">
      <c r="A250" t="s">
        <v>1468</v>
      </c>
      <c r="B250" s="8" t="s">
        <v>1464</v>
      </c>
      <c r="C250">
        <v>9</v>
      </c>
      <c r="D250" t="s">
        <v>1543</v>
      </c>
      <c r="E250" s="2">
        <f>VLOOKUP(D250,Semaine_ref_trim!$C$1:$E$372,2,FALSE)</f>
        <v>47168</v>
      </c>
      <c r="F250" s="2">
        <f>VLOOKUP(D250,Semaine_ref_trim!$C$1:$E$372,3,FALSE)</f>
        <v>47174</v>
      </c>
    </row>
    <row r="251" spans="1:6" x14ac:dyDescent="0.35">
      <c r="A251" t="s">
        <v>1468</v>
      </c>
      <c r="B251" s="8" t="s">
        <v>1464</v>
      </c>
      <c r="C251">
        <v>10</v>
      </c>
      <c r="D251" t="s">
        <v>1544</v>
      </c>
      <c r="E251" s="2">
        <f>VLOOKUP(D251,Semaine_ref_trim!$C$1:$E$372,2,FALSE)</f>
        <v>47175</v>
      </c>
      <c r="F251" s="2">
        <f>VLOOKUP(D251,Semaine_ref_trim!$C$1:$E$372,3,FALSE)</f>
        <v>47181</v>
      </c>
    </row>
    <row r="252" spans="1:6" x14ac:dyDescent="0.35">
      <c r="A252" t="s">
        <v>1468</v>
      </c>
      <c r="B252" s="8" t="s">
        <v>1464</v>
      </c>
      <c r="C252">
        <v>11</v>
      </c>
      <c r="D252" t="s">
        <v>1545</v>
      </c>
      <c r="E252" s="2">
        <f>VLOOKUP(D252,Semaine_ref_trim!$C$1:$E$372,2,FALSE)</f>
        <v>47182</v>
      </c>
      <c r="F252" s="2">
        <f>VLOOKUP(D252,Semaine_ref_trim!$C$1:$E$372,3,FALSE)</f>
        <v>47188</v>
      </c>
    </row>
    <row r="253" spans="1:6" x14ac:dyDescent="0.35">
      <c r="A253" t="s">
        <v>1468</v>
      </c>
      <c r="B253" s="8" t="s">
        <v>1464</v>
      </c>
      <c r="C253">
        <v>12</v>
      </c>
      <c r="D253" t="s">
        <v>1546</v>
      </c>
      <c r="E253" s="2">
        <f>VLOOKUP(D253,Semaine_ref_trim!$C$1:$E$372,2,FALSE)</f>
        <v>47189</v>
      </c>
      <c r="F253" s="2">
        <f>VLOOKUP(D253,Semaine_ref_trim!$C$1:$E$372,3,FALSE)</f>
        <v>47195</v>
      </c>
    </row>
    <row r="254" spans="1:6" x14ac:dyDescent="0.35">
      <c r="A254" t="s">
        <v>1468</v>
      </c>
      <c r="B254" s="8" t="s">
        <v>1464</v>
      </c>
      <c r="C254">
        <v>13</v>
      </c>
      <c r="D254" t="s">
        <v>1547</v>
      </c>
      <c r="E254" s="2">
        <f>VLOOKUP(D254,Semaine_ref_trim!$C$1:$E$372,2,FALSE)</f>
        <v>47196</v>
      </c>
      <c r="F254" s="2">
        <f>VLOOKUP(D254,Semaine_ref_trim!$C$1:$E$372,3,FALSE)</f>
        <v>47202</v>
      </c>
    </row>
    <row r="255" spans="1:6" x14ac:dyDescent="0.35">
      <c r="A255" t="s">
        <v>1468</v>
      </c>
      <c r="B255" s="8" t="s">
        <v>1466</v>
      </c>
      <c r="C255">
        <v>1</v>
      </c>
      <c r="D255" t="str">
        <f>D242</f>
        <v>Monday 25 December 2028</v>
      </c>
      <c r="E255" s="2">
        <f>VLOOKUP(D255,Semaine_ref_trim!$C$1:$E$372,2,FALSE)</f>
        <v>47112</v>
      </c>
      <c r="F255" s="2">
        <f>VLOOKUP(D255,Semaine_ref_trim!$C$1:$E$372,3,FALSE)</f>
        <v>47118</v>
      </c>
    </row>
    <row r="256" spans="1:6" x14ac:dyDescent="0.35">
      <c r="A256" t="s">
        <v>1468</v>
      </c>
      <c r="B256" s="8" t="s">
        <v>1466</v>
      </c>
      <c r="C256">
        <v>2</v>
      </c>
      <c r="D256" t="str">
        <f>D244</f>
        <v>Monday 8 January 2029</v>
      </c>
      <c r="E256" s="2">
        <f>VLOOKUP(D256,Semaine_ref_trim!$C$1:$E$372,2,FALSE)</f>
        <v>47126</v>
      </c>
      <c r="F256" s="2">
        <f>VLOOKUP(D256,Semaine_ref_trim!$C$1:$E$372,3,FALSE)</f>
        <v>47132</v>
      </c>
    </row>
    <row r="257" spans="1:6" x14ac:dyDescent="0.35">
      <c r="A257" t="s">
        <v>1468</v>
      </c>
      <c r="B257" s="8" t="s">
        <v>1466</v>
      </c>
      <c r="C257">
        <v>3</v>
      </c>
      <c r="D257" t="str">
        <f>D246</f>
        <v>Monday 22 January 2029</v>
      </c>
      <c r="E257" s="2">
        <f>VLOOKUP(D257,Semaine_ref_trim!$C$1:$E$372,2,FALSE)</f>
        <v>47140</v>
      </c>
      <c r="F257" s="2">
        <f>VLOOKUP(D257,Semaine_ref_trim!$C$1:$E$372,3,FALSE)</f>
        <v>47146</v>
      </c>
    </row>
    <row r="258" spans="1:6" x14ac:dyDescent="0.35">
      <c r="A258" t="s">
        <v>1468</v>
      </c>
      <c r="B258" s="8" t="s">
        <v>1466</v>
      </c>
      <c r="C258">
        <v>4</v>
      </c>
      <c r="D258" t="str">
        <f>D248</f>
        <v>Monday 5 February 2029</v>
      </c>
      <c r="E258" s="2">
        <f>VLOOKUP(D258,Semaine_ref_trim!$C$1:$E$372,2,FALSE)</f>
        <v>47154</v>
      </c>
      <c r="F258" s="2">
        <f>VLOOKUP(D258,Semaine_ref_trim!$C$1:$E$372,3,FALSE)</f>
        <v>47160</v>
      </c>
    </row>
    <row r="259" spans="1:6" x14ac:dyDescent="0.35">
      <c r="A259" t="s">
        <v>1468</v>
      </c>
      <c r="B259" s="8" t="s">
        <v>1466</v>
      </c>
      <c r="C259">
        <v>5</v>
      </c>
      <c r="D259" t="str">
        <f>D250</f>
        <v>Monday 19 February 2029</v>
      </c>
      <c r="E259" s="2">
        <f>VLOOKUP(D259,Semaine_ref_trim!$C$1:$E$372,2,FALSE)</f>
        <v>47168</v>
      </c>
      <c r="F259" s="2">
        <f>VLOOKUP(D259,Semaine_ref_trim!$C$1:$E$372,3,FALSE)</f>
        <v>47174</v>
      </c>
    </row>
    <row r="260" spans="1:6" x14ac:dyDescent="0.35">
      <c r="A260" t="s">
        <v>1468</v>
      </c>
      <c r="B260" s="8" t="s">
        <v>1466</v>
      </c>
      <c r="C260">
        <v>6</v>
      </c>
      <c r="D260" t="str">
        <f>D252</f>
        <v>Monday 5 March 2029</v>
      </c>
      <c r="E260" s="2">
        <f>VLOOKUP(D260,Semaine_ref_trim!$C$1:$E$372,2,FALSE)</f>
        <v>47182</v>
      </c>
      <c r="F260" s="2">
        <f>VLOOKUP(D260,Semaine_ref_trim!$C$1:$E$372,3,FALSE)</f>
        <v>47188</v>
      </c>
    </row>
    <row r="261" spans="1:6" x14ac:dyDescent="0.35">
      <c r="A261" t="s">
        <v>1468</v>
      </c>
      <c r="B261" s="8" t="s">
        <v>1466</v>
      </c>
      <c r="C261">
        <v>7</v>
      </c>
      <c r="D261" t="str">
        <f>D254</f>
        <v>Monday 19 March 2029</v>
      </c>
      <c r="E261" s="2">
        <f>VLOOKUP(D261,Semaine_ref_trim!$C$1:$E$372,2,FALSE)</f>
        <v>47196</v>
      </c>
      <c r="F261" s="2">
        <f>VLOOKUP(D261,Semaine_ref_trim!$C$1:$E$372,3,FALSE)</f>
        <v>47202</v>
      </c>
    </row>
    <row r="262" spans="1:6" x14ac:dyDescent="0.35">
      <c r="A262" t="s">
        <v>1475</v>
      </c>
      <c r="B262" s="8" t="s">
        <v>1464</v>
      </c>
      <c r="C262">
        <v>1</v>
      </c>
      <c r="D262" t="s">
        <v>1548</v>
      </c>
      <c r="E262" s="2">
        <f>VLOOKUP(D262,Semaine_ref_trim!$C$1:$E$372,2,FALSE)</f>
        <v>47203</v>
      </c>
      <c r="F262" s="2">
        <f>VLOOKUP(D262,Semaine_ref_trim!$C$1:$E$372,3,FALSE)</f>
        <v>47209</v>
      </c>
    </row>
    <row r="263" spans="1:6" x14ac:dyDescent="0.35">
      <c r="A263" t="s">
        <v>1475</v>
      </c>
      <c r="B263" s="8" t="s">
        <v>1464</v>
      </c>
      <c r="C263">
        <v>2</v>
      </c>
      <c r="D263" t="s">
        <v>1549</v>
      </c>
      <c r="E263" s="2">
        <f>VLOOKUP(D263,Semaine_ref_trim!$C$1:$E$372,2,FALSE)</f>
        <v>47210</v>
      </c>
      <c r="F263" s="2">
        <f>VLOOKUP(D263,Semaine_ref_trim!$C$1:$E$372,3,FALSE)</f>
        <v>47216</v>
      </c>
    </row>
    <row r="264" spans="1:6" x14ac:dyDescent="0.35">
      <c r="A264" t="s">
        <v>1475</v>
      </c>
      <c r="B264" s="8" t="s">
        <v>1464</v>
      </c>
      <c r="C264">
        <v>3</v>
      </c>
      <c r="D264" t="s">
        <v>1550</v>
      </c>
      <c r="E264" s="2">
        <f>VLOOKUP(D264,Semaine_ref_trim!$C$1:$E$372,2,FALSE)</f>
        <v>47217</v>
      </c>
      <c r="F264" s="2">
        <f>VLOOKUP(D264,Semaine_ref_trim!$C$1:$E$372,3,FALSE)</f>
        <v>47223</v>
      </c>
    </row>
    <row r="265" spans="1:6" x14ac:dyDescent="0.35">
      <c r="A265" t="s">
        <v>1475</v>
      </c>
      <c r="B265" s="8" t="s">
        <v>1464</v>
      </c>
      <c r="C265">
        <v>4</v>
      </c>
      <c r="D265" t="s">
        <v>1551</v>
      </c>
      <c r="E265" s="2">
        <f>VLOOKUP(D265,Semaine_ref_trim!$C$1:$E$372,2,FALSE)</f>
        <v>47224</v>
      </c>
      <c r="F265" s="2">
        <f>VLOOKUP(D265,Semaine_ref_trim!$C$1:$E$372,3,FALSE)</f>
        <v>47230</v>
      </c>
    </row>
    <row r="266" spans="1:6" x14ac:dyDescent="0.35">
      <c r="A266" t="s">
        <v>1475</v>
      </c>
      <c r="B266" s="8" t="s">
        <v>1464</v>
      </c>
      <c r="C266">
        <v>5</v>
      </c>
      <c r="D266" t="s">
        <v>1552</v>
      </c>
      <c r="E266" s="2">
        <f>VLOOKUP(D266,Semaine_ref_trim!$C$1:$E$372,2,FALSE)</f>
        <v>47231</v>
      </c>
      <c r="F266" s="2">
        <f>VLOOKUP(D266,Semaine_ref_trim!$C$1:$E$372,3,FALSE)</f>
        <v>47237</v>
      </c>
    </row>
    <row r="267" spans="1:6" x14ac:dyDescent="0.35">
      <c r="A267" t="s">
        <v>1475</v>
      </c>
      <c r="B267" s="8" t="s">
        <v>1464</v>
      </c>
      <c r="C267">
        <v>6</v>
      </c>
      <c r="D267" t="s">
        <v>1553</v>
      </c>
      <c r="E267" s="2">
        <f>VLOOKUP(D267,Semaine_ref_trim!$C$1:$E$372,2,FALSE)</f>
        <v>47238</v>
      </c>
      <c r="F267" s="2">
        <f>VLOOKUP(D267,Semaine_ref_trim!$C$1:$E$372,3,FALSE)</f>
        <v>47244</v>
      </c>
    </row>
    <row r="268" spans="1:6" x14ac:dyDescent="0.35">
      <c r="A268" t="s">
        <v>1475</v>
      </c>
      <c r="B268" s="8" t="s">
        <v>1464</v>
      </c>
      <c r="C268">
        <v>7</v>
      </c>
      <c r="D268" t="s">
        <v>1554</v>
      </c>
      <c r="E268" s="2">
        <f>VLOOKUP(D268,Semaine_ref_trim!$C$1:$E$372,2,FALSE)</f>
        <v>47245</v>
      </c>
      <c r="F268" s="2">
        <f>VLOOKUP(D268,Semaine_ref_trim!$C$1:$E$372,3,FALSE)</f>
        <v>47251</v>
      </c>
    </row>
    <row r="269" spans="1:6" x14ac:dyDescent="0.35">
      <c r="A269" t="s">
        <v>1475</v>
      </c>
      <c r="B269" s="8" t="s">
        <v>1464</v>
      </c>
      <c r="C269">
        <v>8</v>
      </c>
      <c r="D269" t="s">
        <v>1555</v>
      </c>
      <c r="E269" s="2">
        <f>VLOOKUP(D269,Semaine_ref_trim!$C$1:$E$372,2,FALSE)</f>
        <v>47252</v>
      </c>
      <c r="F269" s="2">
        <f>VLOOKUP(D269,Semaine_ref_trim!$C$1:$E$372,3,FALSE)</f>
        <v>47258</v>
      </c>
    </row>
    <row r="270" spans="1:6" x14ac:dyDescent="0.35">
      <c r="A270" t="s">
        <v>1475</v>
      </c>
      <c r="B270" s="8" t="s">
        <v>1464</v>
      </c>
      <c r="C270">
        <v>9</v>
      </c>
      <c r="D270" t="s">
        <v>1556</v>
      </c>
      <c r="E270" s="2">
        <f>VLOOKUP(D270,Semaine_ref_trim!$C$1:$E$372,2,FALSE)</f>
        <v>47259</v>
      </c>
      <c r="F270" s="2">
        <f>VLOOKUP(D270,Semaine_ref_trim!$C$1:$E$372,3,FALSE)</f>
        <v>47265</v>
      </c>
    </row>
    <row r="271" spans="1:6" x14ac:dyDescent="0.35">
      <c r="A271" t="s">
        <v>1475</v>
      </c>
      <c r="B271" s="8" t="s">
        <v>1464</v>
      </c>
      <c r="C271">
        <v>10</v>
      </c>
      <c r="D271" t="s">
        <v>1557</v>
      </c>
      <c r="E271" s="2">
        <f>VLOOKUP(D271,Semaine_ref_trim!$C$1:$E$372,2,FALSE)</f>
        <v>47266</v>
      </c>
      <c r="F271" s="2">
        <f>VLOOKUP(D271,Semaine_ref_trim!$C$1:$E$372,3,FALSE)</f>
        <v>47272</v>
      </c>
    </row>
    <row r="272" spans="1:6" x14ac:dyDescent="0.35">
      <c r="A272" t="s">
        <v>1475</v>
      </c>
      <c r="B272" s="8" t="s">
        <v>1464</v>
      </c>
      <c r="C272">
        <v>11</v>
      </c>
      <c r="D272" t="s">
        <v>1558</v>
      </c>
      <c r="E272" s="2">
        <f>VLOOKUP(D272,Semaine_ref_trim!$C$1:$E$372,2,FALSE)</f>
        <v>47273</v>
      </c>
      <c r="F272" s="2">
        <f>VLOOKUP(D272,Semaine_ref_trim!$C$1:$E$372,3,FALSE)</f>
        <v>47279</v>
      </c>
    </row>
    <row r="273" spans="1:6" x14ac:dyDescent="0.35">
      <c r="A273" t="s">
        <v>1475</v>
      </c>
      <c r="B273" s="8" t="s">
        <v>1464</v>
      </c>
      <c r="C273">
        <v>12</v>
      </c>
      <c r="D273" t="s">
        <v>1559</v>
      </c>
      <c r="E273" s="2">
        <f>VLOOKUP(D273,Semaine_ref_trim!$C$1:$E$372,2,FALSE)</f>
        <v>47280</v>
      </c>
      <c r="F273" s="2">
        <f>VLOOKUP(D273,Semaine_ref_trim!$C$1:$E$372,3,FALSE)</f>
        <v>47286</v>
      </c>
    </row>
    <row r="274" spans="1:6" x14ac:dyDescent="0.35">
      <c r="A274" t="s">
        <v>1475</v>
      </c>
      <c r="B274" s="8" t="s">
        <v>1464</v>
      </c>
      <c r="C274">
        <v>13</v>
      </c>
      <c r="D274" t="s">
        <v>1560</v>
      </c>
      <c r="E274" s="2">
        <f>VLOOKUP(D274,Semaine_ref_trim!$C$1:$E$372,2,FALSE)</f>
        <v>47287</v>
      </c>
      <c r="F274" s="2">
        <f>VLOOKUP(D274,Semaine_ref_trim!$C$1:$E$372,3,FALSE)</f>
        <v>47293</v>
      </c>
    </row>
    <row r="275" spans="1:6" x14ac:dyDescent="0.35">
      <c r="A275" t="s">
        <v>1475</v>
      </c>
      <c r="B275" s="8" t="s">
        <v>1466</v>
      </c>
      <c r="C275">
        <v>1</v>
      </c>
      <c r="D275" t="str">
        <f>D262</f>
        <v>Monday 26 March 2029</v>
      </c>
      <c r="E275" s="2">
        <f>VLOOKUP(D275,Semaine_ref_trim!$C$1:$E$372,2,FALSE)</f>
        <v>47203</v>
      </c>
      <c r="F275" s="2">
        <f>VLOOKUP(D275,Semaine_ref_trim!$C$1:$E$372,3,FALSE)</f>
        <v>47209</v>
      </c>
    </row>
    <row r="276" spans="1:6" x14ac:dyDescent="0.35">
      <c r="A276" t="s">
        <v>1475</v>
      </c>
      <c r="B276" s="8" t="s">
        <v>1466</v>
      </c>
      <c r="C276">
        <v>2</v>
      </c>
      <c r="D276" t="str">
        <f>D264</f>
        <v>Monday 9 April 2029</v>
      </c>
      <c r="E276" s="2">
        <f>VLOOKUP(D276,Semaine_ref_trim!$C$1:$E$372,2,FALSE)</f>
        <v>47217</v>
      </c>
      <c r="F276" s="2">
        <f>VLOOKUP(D276,Semaine_ref_trim!$C$1:$E$372,3,FALSE)</f>
        <v>47223</v>
      </c>
    </row>
    <row r="277" spans="1:6" x14ac:dyDescent="0.35">
      <c r="A277" t="s">
        <v>1475</v>
      </c>
      <c r="B277" s="8" t="s">
        <v>1466</v>
      </c>
      <c r="C277">
        <v>3</v>
      </c>
      <c r="D277" t="str">
        <f>D266</f>
        <v>Monday 23 April 2029</v>
      </c>
      <c r="E277" s="2">
        <f>VLOOKUP(D277,Semaine_ref_trim!$C$1:$E$372,2,FALSE)</f>
        <v>47231</v>
      </c>
      <c r="F277" s="2">
        <f>VLOOKUP(D277,Semaine_ref_trim!$C$1:$E$372,3,FALSE)</f>
        <v>47237</v>
      </c>
    </row>
    <row r="278" spans="1:6" x14ac:dyDescent="0.35">
      <c r="A278" t="s">
        <v>1475</v>
      </c>
      <c r="B278" s="8" t="s">
        <v>1466</v>
      </c>
      <c r="C278">
        <v>4</v>
      </c>
      <c r="D278" t="str">
        <f>D268</f>
        <v>Monday 7 May 2029</v>
      </c>
      <c r="E278" s="2">
        <f>VLOOKUP(D278,Semaine_ref_trim!$C$1:$E$372,2,FALSE)</f>
        <v>47245</v>
      </c>
      <c r="F278" s="2">
        <f>VLOOKUP(D278,Semaine_ref_trim!$C$1:$E$372,3,FALSE)</f>
        <v>47251</v>
      </c>
    </row>
    <row r="279" spans="1:6" x14ac:dyDescent="0.35">
      <c r="A279" t="s">
        <v>1475</v>
      </c>
      <c r="B279" s="8" t="s">
        <v>1466</v>
      </c>
      <c r="C279">
        <v>5</v>
      </c>
      <c r="D279" t="str">
        <f>D270</f>
        <v>Monday 21 May 2029</v>
      </c>
      <c r="E279" s="2">
        <f>VLOOKUP(D279,Semaine_ref_trim!$C$1:$E$372,2,FALSE)</f>
        <v>47259</v>
      </c>
      <c r="F279" s="2">
        <f>VLOOKUP(D279,Semaine_ref_trim!$C$1:$E$372,3,FALSE)</f>
        <v>47265</v>
      </c>
    </row>
    <row r="280" spans="1:6" x14ac:dyDescent="0.35">
      <c r="A280" t="s">
        <v>1475</v>
      </c>
      <c r="B280" s="8" t="s">
        <v>1466</v>
      </c>
      <c r="C280">
        <v>6</v>
      </c>
      <c r="D280" t="str">
        <f>D272</f>
        <v>Monday 4 June 2029</v>
      </c>
      <c r="E280" s="2">
        <f>VLOOKUP(D280,Semaine_ref_trim!$C$1:$E$372,2,FALSE)</f>
        <v>47273</v>
      </c>
      <c r="F280" s="2">
        <f>VLOOKUP(D280,Semaine_ref_trim!$C$1:$E$372,3,FALSE)</f>
        <v>47279</v>
      </c>
    </row>
    <row r="281" spans="1:6" x14ac:dyDescent="0.35">
      <c r="A281" t="s">
        <v>1475</v>
      </c>
      <c r="B281" s="8" t="s">
        <v>1466</v>
      </c>
      <c r="C281">
        <v>7</v>
      </c>
      <c r="D281" t="str">
        <f>D274</f>
        <v>Monday 18 June 2029</v>
      </c>
      <c r="E281" s="2">
        <f>VLOOKUP(D281,Semaine_ref_trim!$C$1:$E$372,2,FALSE)</f>
        <v>47287</v>
      </c>
      <c r="F281" s="2">
        <f>VLOOKUP(D281,Semaine_ref_trim!$C$1:$E$372,3,FALSE)</f>
        <v>47293</v>
      </c>
    </row>
    <row r="282" spans="1:6" x14ac:dyDescent="0.35">
      <c r="A282" t="s">
        <v>1478</v>
      </c>
      <c r="B282" s="8" t="s">
        <v>1464</v>
      </c>
      <c r="C282">
        <v>1</v>
      </c>
      <c r="D282" t="s">
        <v>1561</v>
      </c>
      <c r="E282" s="2">
        <f>VLOOKUP(D282,Semaine_ref_trim!$C$1:$E$372,2,FALSE)</f>
        <v>47294</v>
      </c>
      <c r="F282" s="2">
        <f>VLOOKUP(D282,Semaine_ref_trim!$C$1:$E$372,3,FALSE)</f>
        <v>47300</v>
      </c>
    </row>
    <row r="283" spans="1:6" x14ac:dyDescent="0.35">
      <c r="A283" t="s">
        <v>1478</v>
      </c>
      <c r="B283" s="8" t="s">
        <v>1464</v>
      </c>
      <c r="C283">
        <v>2</v>
      </c>
      <c r="D283" t="s">
        <v>1562</v>
      </c>
      <c r="E283" s="2">
        <f>VLOOKUP(D283,Semaine_ref_trim!$C$1:$E$372,2,FALSE)</f>
        <v>47301</v>
      </c>
      <c r="F283" s="2">
        <f>VLOOKUP(D283,Semaine_ref_trim!$C$1:$E$372,3,FALSE)</f>
        <v>47307</v>
      </c>
    </row>
    <row r="284" spans="1:6" x14ac:dyDescent="0.35">
      <c r="A284" t="s">
        <v>1478</v>
      </c>
      <c r="B284" s="8" t="s">
        <v>1464</v>
      </c>
      <c r="C284">
        <v>3</v>
      </c>
      <c r="D284" t="s">
        <v>1563</v>
      </c>
      <c r="E284" s="2">
        <f>VLOOKUP(D284,Semaine_ref_trim!$C$1:$E$372,2,FALSE)</f>
        <v>47308</v>
      </c>
      <c r="F284" s="2">
        <f>VLOOKUP(D284,Semaine_ref_trim!$C$1:$E$372,3,FALSE)</f>
        <v>47314</v>
      </c>
    </row>
    <row r="285" spans="1:6" x14ac:dyDescent="0.35">
      <c r="A285" t="s">
        <v>1478</v>
      </c>
      <c r="B285" s="8" t="s">
        <v>1464</v>
      </c>
      <c r="C285">
        <v>4</v>
      </c>
      <c r="D285" t="s">
        <v>1564</v>
      </c>
      <c r="E285" s="2">
        <f>VLOOKUP(D285,Semaine_ref_trim!$C$1:$E$372,2,FALSE)</f>
        <v>47315</v>
      </c>
      <c r="F285" s="2">
        <f>VLOOKUP(D285,Semaine_ref_trim!$C$1:$E$372,3,FALSE)</f>
        <v>47321</v>
      </c>
    </row>
    <row r="286" spans="1:6" x14ac:dyDescent="0.35">
      <c r="A286" t="s">
        <v>1478</v>
      </c>
      <c r="B286" s="8" t="s">
        <v>1464</v>
      </c>
      <c r="C286">
        <v>5</v>
      </c>
      <c r="D286" t="s">
        <v>1565</v>
      </c>
      <c r="E286" s="2">
        <f>VLOOKUP(D286,Semaine_ref_trim!$C$1:$E$372,2,FALSE)</f>
        <v>47322</v>
      </c>
      <c r="F286" s="2">
        <f>VLOOKUP(D286,Semaine_ref_trim!$C$1:$E$372,3,FALSE)</f>
        <v>47328</v>
      </c>
    </row>
    <row r="287" spans="1:6" x14ac:dyDescent="0.35">
      <c r="A287" t="s">
        <v>1478</v>
      </c>
      <c r="B287" s="8" t="s">
        <v>1464</v>
      </c>
      <c r="C287">
        <v>6</v>
      </c>
      <c r="D287" t="s">
        <v>1566</v>
      </c>
      <c r="E287" s="2">
        <f>VLOOKUP(D287,Semaine_ref_trim!$C$1:$E$372,2,FALSE)</f>
        <v>47329</v>
      </c>
      <c r="F287" s="2">
        <f>VLOOKUP(D287,Semaine_ref_trim!$C$1:$E$372,3,FALSE)</f>
        <v>47335</v>
      </c>
    </row>
    <row r="288" spans="1:6" x14ac:dyDescent="0.35">
      <c r="A288" t="s">
        <v>1478</v>
      </c>
      <c r="B288" s="8" t="s">
        <v>1464</v>
      </c>
      <c r="C288">
        <v>7</v>
      </c>
      <c r="D288" t="s">
        <v>1567</v>
      </c>
      <c r="E288" s="2">
        <f>VLOOKUP(D288,Semaine_ref_trim!$C$1:$E$372,2,FALSE)</f>
        <v>47336</v>
      </c>
      <c r="F288" s="2">
        <f>VLOOKUP(D288,Semaine_ref_trim!$C$1:$E$372,3,FALSE)</f>
        <v>47342</v>
      </c>
    </row>
    <row r="289" spans="1:6" x14ac:dyDescent="0.35">
      <c r="A289" t="s">
        <v>1478</v>
      </c>
      <c r="B289" s="8" t="s">
        <v>1464</v>
      </c>
      <c r="C289">
        <v>8</v>
      </c>
      <c r="D289" t="s">
        <v>1568</v>
      </c>
      <c r="E289" s="2">
        <f>VLOOKUP(D289,Semaine_ref_trim!$C$1:$E$372,2,FALSE)</f>
        <v>47343</v>
      </c>
      <c r="F289" s="2">
        <f>VLOOKUP(D289,Semaine_ref_trim!$C$1:$E$372,3,FALSE)</f>
        <v>47349</v>
      </c>
    </row>
    <row r="290" spans="1:6" x14ac:dyDescent="0.35">
      <c r="A290" t="s">
        <v>1478</v>
      </c>
      <c r="B290" s="8" t="s">
        <v>1464</v>
      </c>
      <c r="C290">
        <v>9</v>
      </c>
      <c r="D290" t="s">
        <v>1569</v>
      </c>
      <c r="E290" s="2">
        <f>VLOOKUP(D290,Semaine_ref_trim!$C$1:$E$372,2,FALSE)</f>
        <v>47350</v>
      </c>
      <c r="F290" s="2">
        <f>VLOOKUP(D290,Semaine_ref_trim!$C$1:$E$372,3,FALSE)</f>
        <v>47356</v>
      </c>
    </row>
    <row r="291" spans="1:6" x14ac:dyDescent="0.35">
      <c r="A291" t="s">
        <v>1478</v>
      </c>
      <c r="B291" s="8" t="s">
        <v>1464</v>
      </c>
      <c r="C291">
        <v>10</v>
      </c>
      <c r="D291" t="s">
        <v>1570</v>
      </c>
      <c r="E291" s="2">
        <f>VLOOKUP(D291,Semaine_ref_trim!$C$1:$E$372,2,FALSE)</f>
        <v>47357</v>
      </c>
      <c r="F291" s="2">
        <f>VLOOKUP(D291,Semaine_ref_trim!$C$1:$E$372,3,FALSE)</f>
        <v>47363</v>
      </c>
    </row>
    <row r="292" spans="1:6" x14ac:dyDescent="0.35">
      <c r="A292" t="s">
        <v>1478</v>
      </c>
      <c r="B292" s="8" t="s">
        <v>1464</v>
      </c>
      <c r="C292">
        <v>11</v>
      </c>
      <c r="D292" t="s">
        <v>1571</v>
      </c>
      <c r="E292" s="2">
        <f>VLOOKUP(D292,Semaine_ref_trim!$C$1:$E$372,2,FALSE)</f>
        <v>47364</v>
      </c>
      <c r="F292" s="2">
        <f>VLOOKUP(D292,Semaine_ref_trim!$C$1:$E$372,3,FALSE)</f>
        <v>47370</v>
      </c>
    </row>
    <row r="293" spans="1:6" x14ac:dyDescent="0.35">
      <c r="A293" t="s">
        <v>1478</v>
      </c>
      <c r="B293" s="8" t="s">
        <v>1464</v>
      </c>
      <c r="C293">
        <v>12</v>
      </c>
      <c r="D293" t="s">
        <v>1572</v>
      </c>
      <c r="E293" s="2">
        <f>VLOOKUP(D293,Semaine_ref_trim!$C$1:$E$372,2,FALSE)</f>
        <v>47371</v>
      </c>
      <c r="F293" s="2">
        <f>VLOOKUP(D293,Semaine_ref_trim!$C$1:$E$372,3,FALSE)</f>
        <v>47377</v>
      </c>
    </row>
    <row r="294" spans="1:6" x14ac:dyDescent="0.35">
      <c r="A294" t="s">
        <v>1478</v>
      </c>
      <c r="B294" s="8" t="s">
        <v>1464</v>
      </c>
      <c r="C294">
        <v>13</v>
      </c>
      <c r="D294" t="s">
        <v>1573</v>
      </c>
      <c r="E294" s="2">
        <f>VLOOKUP(D294,Semaine_ref_trim!$C$1:$E$372,2,FALSE)</f>
        <v>47378</v>
      </c>
      <c r="F294" s="2">
        <f>VLOOKUP(D294,Semaine_ref_trim!$C$1:$E$372,3,FALSE)</f>
        <v>47384</v>
      </c>
    </row>
    <row r="295" spans="1:6" x14ac:dyDescent="0.35">
      <c r="A295" t="s">
        <v>1478</v>
      </c>
      <c r="B295" s="8" t="s">
        <v>1466</v>
      </c>
      <c r="C295">
        <v>1</v>
      </c>
      <c r="D295" t="str">
        <f>D282</f>
        <v>Monday 25 June 2029</v>
      </c>
      <c r="E295" s="2">
        <f>VLOOKUP(D295,Semaine_ref_trim!$C$1:$E$372,2,FALSE)</f>
        <v>47294</v>
      </c>
      <c r="F295" s="2">
        <f>VLOOKUP(D295,Semaine_ref_trim!$C$1:$E$372,3,FALSE)</f>
        <v>47300</v>
      </c>
    </row>
    <row r="296" spans="1:6" x14ac:dyDescent="0.35">
      <c r="A296" t="s">
        <v>1478</v>
      </c>
      <c r="B296" s="8" t="s">
        <v>1466</v>
      </c>
      <c r="C296">
        <v>2</v>
      </c>
      <c r="D296" t="str">
        <f>D284</f>
        <v>Monday 9 July 2029</v>
      </c>
      <c r="E296" s="2">
        <f>VLOOKUP(D296,Semaine_ref_trim!$C$1:$E$372,2,FALSE)</f>
        <v>47308</v>
      </c>
      <c r="F296" s="2">
        <f>VLOOKUP(D296,Semaine_ref_trim!$C$1:$E$372,3,FALSE)</f>
        <v>47314</v>
      </c>
    </row>
    <row r="297" spans="1:6" x14ac:dyDescent="0.35">
      <c r="A297" t="s">
        <v>1478</v>
      </c>
      <c r="B297" s="8" t="s">
        <v>1466</v>
      </c>
      <c r="C297">
        <v>3</v>
      </c>
      <c r="D297" t="str">
        <f>D286</f>
        <v>Monday 23 July 2029</v>
      </c>
      <c r="E297" s="2">
        <f>VLOOKUP(D297,Semaine_ref_trim!$C$1:$E$372,2,FALSE)</f>
        <v>47322</v>
      </c>
      <c r="F297" s="2">
        <f>VLOOKUP(D297,Semaine_ref_trim!$C$1:$E$372,3,FALSE)</f>
        <v>47328</v>
      </c>
    </row>
    <row r="298" spans="1:6" x14ac:dyDescent="0.35">
      <c r="A298" t="s">
        <v>1478</v>
      </c>
      <c r="B298" s="8" t="s">
        <v>1466</v>
      </c>
      <c r="C298">
        <v>4</v>
      </c>
      <c r="D298" t="str">
        <f>D288</f>
        <v>Monday 6 August 2029</v>
      </c>
      <c r="E298" s="2">
        <f>VLOOKUP(D298,Semaine_ref_trim!$C$1:$E$372,2,FALSE)</f>
        <v>47336</v>
      </c>
      <c r="F298" s="2">
        <f>VLOOKUP(D298,Semaine_ref_trim!$C$1:$E$372,3,FALSE)</f>
        <v>47342</v>
      </c>
    </row>
    <row r="299" spans="1:6" x14ac:dyDescent="0.35">
      <c r="A299" t="s">
        <v>1478</v>
      </c>
      <c r="B299" s="8" t="s">
        <v>1466</v>
      </c>
      <c r="C299">
        <v>5</v>
      </c>
      <c r="D299" t="str">
        <f>D290</f>
        <v>Monday 20 August 2029</v>
      </c>
      <c r="E299" s="2">
        <f>VLOOKUP(D299,Semaine_ref_trim!$C$1:$E$372,2,FALSE)</f>
        <v>47350</v>
      </c>
      <c r="F299" s="2">
        <f>VLOOKUP(D299,Semaine_ref_trim!$C$1:$E$372,3,FALSE)</f>
        <v>47356</v>
      </c>
    </row>
    <row r="300" spans="1:6" x14ac:dyDescent="0.35">
      <c r="A300" t="s">
        <v>1478</v>
      </c>
      <c r="B300" s="8" t="s">
        <v>1466</v>
      </c>
      <c r="C300">
        <v>6</v>
      </c>
      <c r="D300" t="str">
        <f>D292</f>
        <v>Monday 3 September 2029</v>
      </c>
      <c r="E300" s="2">
        <f>VLOOKUP(D300,Semaine_ref_trim!$C$1:$E$372,2,FALSE)</f>
        <v>47364</v>
      </c>
      <c r="F300" s="2">
        <f>VLOOKUP(D300,Semaine_ref_trim!$C$1:$E$372,3,FALSE)</f>
        <v>47370</v>
      </c>
    </row>
    <row r="301" spans="1:6" x14ac:dyDescent="0.35">
      <c r="A301" t="s">
        <v>1478</v>
      </c>
      <c r="B301" s="8" t="s">
        <v>1466</v>
      </c>
      <c r="C301">
        <v>7</v>
      </c>
      <c r="D301" t="str">
        <f>D294</f>
        <v>Monday 17 September 2029</v>
      </c>
      <c r="E301" s="2">
        <f>VLOOKUP(D301,Semaine_ref_trim!$C$1:$E$372,2,FALSE)</f>
        <v>47378</v>
      </c>
      <c r="F301" s="2">
        <f>VLOOKUP(D301,Semaine_ref_trim!$C$1:$E$372,3,FALSE)</f>
        <v>47384</v>
      </c>
    </row>
    <row r="302" spans="1:6" x14ac:dyDescent="0.35">
      <c r="A302" t="s">
        <v>1481</v>
      </c>
      <c r="B302" s="8" t="s">
        <v>1464</v>
      </c>
      <c r="C302">
        <v>1</v>
      </c>
      <c r="D302" s="4" t="s">
        <v>1574</v>
      </c>
      <c r="E302" s="2">
        <f>VLOOKUP(D302,Semaine_ref_trim!$C$1:$E$372,2,FALSE)</f>
        <v>47392</v>
      </c>
      <c r="F302" s="2">
        <f>VLOOKUP(D302,Semaine_ref_trim!$C$1:$E$372,3,FALSE)</f>
        <v>47398</v>
      </c>
    </row>
    <row r="303" spans="1:6" x14ac:dyDescent="0.35">
      <c r="A303" t="s">
        <v>1481</v>
      </c>
      <c r="B303" s="8" t="s">
        <v>1464</v>
      </c>
      <c r="C303">
        <v>2</v>
      </c>
      <c r="D303" s="4" t="s">
        <v>1575</v>
      </c>
      <c r="E303" s="2">
        <f>VLOOKUP(D303,Semaine_ref_trim!$C$1:$E$372,2,FALSE)</f>
        <v>47399</v>
      </c>
      <c r="F303" s="2">
        <f>VLOOKUP(D303,Semaine_ref_trim!$C$1:$E$372,3,FALSE)</f>
        <v>47405</v>
      </c>
    </row>
    <row r="304" spans="1:6" x14ac:dyDescent="0.35">
      <c r="A304" t="s">
        <v>1481</v>
      </c>
      <c r="B304" s="8" t="s">
        <v>1464</v>
      </c>
      <c r="C304">
        <v>3</v>
      </c>
      <c r="D304" s="4" t="s">
        <v>1576</v>
      </c>
      <c r="E304" s="2">
        <f>VLOOKUP(D304,Semaine_ref_trim!$C$1:$E$372,2,FALSE)</f>
        <v>47406</v>
      </c>
      <c r="F304" s="2">
        <f>VLOOKUP(D304,Semaine_ref_trim!$C$1:$E$372,3,FALSE)</f>
        <v>47412</v>
      </c>
    </row>
    <row r="305" spans="1:6" x14ac:dyDescent="0.35">
      <c r="A305" t="s">
        <v>1481</v>
      </c>
      <c r="B305" s="8" t="s">
        <v>1464</v>
      </c>
      <c r="C305">
        <v>4</v>
      </c>
      <c r="D305" s="4" t="s">
        <v>1577</v>
      </c>
      <c r="E305" s="2">
        <f>VLOOKUP(D305,Semaine_ref_trim!$C$1:$E$372,2,FALSE)</f>
        <v>47413</v>
      </c>
      <c r="F305" s="2">
        <f>VLOOKUP(D305,Semaine_ref_trim!$C$1:$E$372,3,FALSE)</f>
        <v>47419</v>
      </c>
    </row>
    <row r="306" spans="1:6" x14ac:dyDescent="0.35">
      <c r="A306" t="s">
        <v>1481</v>
      </c>
      <c r="B306" s="8" t="s">
        <v>1464</v>
      </c>
      <c r="C306">
        <v>5</v>
      </c>
      <c r="D306" s="4" t="s">
        <v>1578</v>
      </c>
      <c r="E306" s="2">
        <f>VLOOKUP(D306,Semaine_ref_trim!$C$1:$E$372,2,FALSE)</f>
        <v>47420</v>
      </c>
      <c r="F306" s="2">
        <f>VLOOKUP(D306,Semaine_ref_trim!$C$1:$E$372,3,FALSE)</f>
        <v>47426</v>
      </c>
    </row>
    <row r="307" spans="1:6" x14ac:dyDescent="0.35">
      <c r="A307" t="s">
        <v>1481</v>
      </c>
      <c r="B307" s="8" t="s">
        <v>1464</v>
      </c>
      <c r="C307">
        <v>6</v>
      </c>
      <c r="D307" s="4" t="s">
        <v>1579</v>
      </c>
      <c r="E307" s="2">
        <f>VLOOKUP(D307,Semaine_ref_trim!$C$1:$E$372,2,FALSE)</f>
        <v>47427</v>
      </c>
      <c r="F307" s="2">
        <f>VLOOKUP(D307,Semaine_ref_trim!$C$1:$E$372,3,FALSE)</f>
        <v>47433</v>
      </c>
    </row>
    <row r="308" spans="1:6" x14ac:dyDescent="0.35">
      <c r="A308" t="s">
        <v>1481</v>
      </c>
      <c r="B308" s="8" t="s">
        <v>1464</v>
      </c>
      <c r="C308">
        <v>7</v>
      </c>
      <c r="D308" s="4" t="s">
        <v>1580</v>
      </c>
      <c r="E308" s="2">
        <f>VLOOKUP(D308,Semaine_ref_trim!$C$1:$E$372,2,FALSE)</f>
        <v>47434</v>
      </c>
      <c r="F308" s="2">
        <f>VLOOKUP(D308,Semaine_ref_trim!$C$1:$E$372,3,FALSE)</f>
        <v>47440</v>
      </c>
    </row>
    <row r="309" spans="1:6" x14ac:dyDescent="0.35">
      <c r="A309" t="s">
        <v>1481</v>
      </c>
      <c r="B309" s="8" t="s">
        <v>1464</v>
      </c>
      <c r="C309">
        <v>8</v>
      </c>
      <c r="D309" s="4" t="s">
        <v>1581</v>
      </c>
      <c r="E309" s="2">
        <f>VLOOKUP(D309,Semaine_ref_trim!$C$1:$E$372,2,FALSE)</f>
        <v>47441</v>
      </c>
      <c r="F309" s="2">
        <f>VLOOKUP(D309,Semaine_ref_trim!$C$1:$E$372,3,FALSE)</f>
        <v>47447</v>
      </c>
    </row>
    <row r="310" spans="1:6" x14ac:dyDescent="0.35">
      <c r="A310" t="s">
        <v>1481</v>
      </c>
      <c r="B310" s="8" t="s">
        <v>1464</v>
      </c>
      <c r="C310">
        <v>9</v>
      </c>
      <c r="D310" s="4" t="s">
        <v>1582</v>
      </c>
      <c r="E310" s="2">
        <f>VLOOKUP(D310,Semaine_ref_trim!$C$1:$E$372,2,FALSE)</f>
        <v>47448</v>
      </c>
      <c r="F310" s="2">
        <f>VLOOKUP(D310,Semaine_ref_trim!$C$1:$E$372,3,FALSE)</f>
        <v>47454</v>
      </c>
    </row>
    <row r="311" spans="1:6" x14ac:dyDescent="0.35">
      <c r="A311" t="s">
        <v>1481</v>
      </c>
      <c r="B311" s="8" t="s">
        <v>1464</v>
      </c>
      <c r="C311">
        <v>10</v>
      </c>
      <c r="D311" s="4" t="s">
        <v>1583</v>
      </c>
      <c r="E311" s="2">
        <f>VLOOKUP(D311,Semaine_ref_trim!$C$1:$E$372,2,FALSE)</f>
        <v>47455</v>
      </c>
      <c r="F311" s="2">
        <f>VLOOKUP(D311,Semaine_ref_trim!$C$1:$E$372,3,FALSE)</f>
        <v>47461</v>
      </c>
    </row>
    <row r="312" spans="1:6" x14ac:dyDescent="0.35">
      <c r="A312" t="s">
        <v>1481</v>
      </c>
      <c r="B312" s="8" t="s">
        <v>1464</v>
      </c>
      <c r="C312">
        <v>11</v>
      </c>
      <c r="D312" s="4" t="s">
        <v>1584</v>
      </c>
      <c r="E312" s="2">
        <f>VLOOKUP(D312,Semaine_ref_trim!$C$1:$E$372,2,FALSE)</f>
        <v>47462</v>
      </c>
      <c r="F312" s="2">
        <f>VLOOKUP(D312,Semaine_ref_trim!$C$1:$E$372,3,FALSE)</f>
        <v>47468</v>
      </c>
    </row>
    <row r="313" spans="1:6" x14ac:dyDescent="0.35">
      <c r="A313" t="s">
        <v>1481</v>
      </c>
      <c r="B313" s="8" t="s">
        <v>1464</v>
      </c>
      <c r="C313">
        <v>12</v>
      </c>
      <c r="D313" s="4" t="s">
        <v>1585</v>
      </c>
      <c r="E313" s="2">
        <f>VLOOKUP(D313,Semaine_ref_trim!$C$1:$E$372,2,FALSE)</f>
        <v>47469</v>
      </c>
      <c r="F313" s="2">
        <f>VLOOKUP(D313,Semaine_ref_trim!$C$1:$E$372,3,FALSE)</f>
        <v>47475</v>
      </c>
    </row>
    <row r="314" spans="1:6" x14ac:dyDescent="0.35">
      <c r="A314" t="s">
        <v>1481</v>
      </c>
      <c r="B314" s="8" t="s">
        <v>1464</v>
      </c>
      <c r="C314">
        <v>13</v>
      </c>
      <c r="D314" s="4" t="s">
        <v>1586</v>
      </c>
      <c r="E314" s="2">
        <f>VLOOKUP(D314,Semaine_ref_trim!$C$1:$E$372,2,FALSE)</f>
        <v>47476</v>
      </c>
      <c r="F314" s="2">
        <f>VLOOKUP(D314,Semaine_ref_trim!$C$1:$E$372,3,FALSE)</f>
        <v>47482</v>
      </c>
    </row>
    <row r="315" spans="1:6" x14ac:dyDescent="0.35">
      <c r="A315" t="s">
        <v>1481</v>
      </c>
      <c r="B315" s="8" t="s">
        <v>1466</v>
      </c>
      <c r="C315">
        <v>1</v>
      </c>
      <c r="D315" t="str">
        <f>D302</f>
        <v>Monday 1 October 2029</v>
      </c>
      <c r="E315" s="2">
        <f>VLOOKUP(D315,Semaine_ref_trim!$C$1:$E$372,2,FALSE)</f>
        <v>47392</v>
      </c>
      <c r="F315" s="2">
        <f>VLOOKUP(D315,Semaine_ref_trim!$C$1:$E$372,3,FALSE)</f>
        <v>47398</v>
      </c>
    </row>
    <row r="316" spans="1:6" x14ac:dyDescent="0.35">
      <c r="A316" t="s">
        <v>1481</v>
      </c>
      <c r="B316" s="8" t="s">
        <v>1466</v>
      </c>
      <c r="C316">
        <v>2</v>
      </c>
      <c r="D316" t="str">
        <f>D304</f>
        <v>Monday 15 October 2029</v>
      </c>
      <c r="E316" s="2">
        <f>VLOOKUP(D316,Semaine_ref_trim!$C$1:$E$372,2,FALSE)</f>
        <v>47406</v>
      </c>
      <c r="F316" s="2">
        <f>VLOOKUP(D316,Semaine_ref_trim!$C$1:$E$372,3,FALSE)</f>
        <v>47412</v>
      </c>
    </row>
    <row r="317" spans="1:6" x14ac:dyDescent="0.35">
      <c r="A317" t="s">
        <v>1481</v>
      </c>
      <c r="B317" s="8" t="s">
        <v>1466</v>
      </c>
      <c r="C317">
        <v>3</v>
      </c>
      <c r="D317" t="str">
        <f>D306</f>
        <v>Monday 29 October 2029</v>
      </c>
      <c r="E317" s="2">
        <f>VLOOKUP(D317,Semaine_ref_trim!$C$1:$E$372,2,FALSE)</f>
        <v>47420</v>
      </c>
      <c r="F317" s="2">
        <f>VLOOKUP(D317,Semaine_ref_trim!$C$1:$E$372,3,FALSE)</f>
        <v>47426</v>
      </c>
    </row>
    <row r="318" spans="1:6" x14ac:dyDescent="0.35">
      <c r="A318" t="s">
        <v>1481</v>
      </c>
      <c r="B318" s="8" t="s">
        <v>1466</v>
      </c>
      <c r="C318">
        <v>4</v>
      </c>
      <c r="D318" t="str">
        <f>D308</f>
        <v>Monday 12 November 2029</v>
      </c>
      <c r="E318" s="2">
        <f>VLOOKUP(D318,Semaine_ref_trim!$C$1:$E$372,2,FALSE)</f>
        <v>47434</v>
      </c>
      <c r="F318" s="2">
        <f>VLOOKUP(D318,Semaine_ref_trim!$C$1:$E$372,3,FALSE)</f>
        <v>47440</v>
      </c>
    </row>
    <row r="319" spans="1:6" x14ac:dyDescent="0.35">
      <c r="A319" t="s">
        <v>1481</v>
      </c>
      <c r="B319" s="8" t="s">
        <v>1466</v>
      </c>
      <c r="C319">
        <v>5</v>
      </c>
      <c r="D319" t="str">
        <f>D310</f>
        <v>Monday 26 November 2029</v>
      </c>
      <c r="E319" s="2">
        <f>VLOOKUP(D319,Semaine_ref_trim!$C$1:$E$372,2,FALSE)</f>
        <v>47448</v>
      </c>
      <c r="F319" s="2">
        <f>VLOOKUP(D319,Semaine_ref_trim!$C$1:$E$372,3,FALSE)</f>
        <v>47454</v>
      </c>
    </row>
    <row r="320" spans="1:6" x14ac:dyDescent="0.35">
      <c r="A320" t="s">
        <v>1481</v>
      </c>
      <c r="B320" s="8" t="s">
        <v>1466</v>
      </c>
      <c r="C320">
        <v>6</v>
      </c>
      <c r="D320" t="str">
        <f>D312</f>
        <v>Monday 10 December 2029</v>
      </c>
      <c r="E320" s="2">
        <f>VLOOKUP(D320,Semaine_ref_trim!$C$1:$E$372,2,FALSE)</f>
        <v>47462</v>
      </c>
      <c r="F320" s="2">
        <f>VLOOKUP(D320,Semaine_ref_trim!$C$1:$E$372,3,FALSE)</f>
        <v>47468</v>
      </c>
    </row>
    <row r="321" spans="1:6" x14ac:dyDescent="0.35">
      <c r="A321" t="s">
        <v>1481</v>
      </c>
      <c r="B321" s="8" t="s">
        <v>1466</v>
      </c>
      <c r="C321">
        <v>7</v>
      </c>
      <c r="D321" t="str">
        <f>D314</f>
        <v>Monday 24 December 2029</v>
      </c>
      <c r="E321" s="2">
        <f>VLOOKUP(D321,Semaine_ref_trim!$C$1:$E$372,2,FALSE)</f>
        <v>47476</v>
      </c>
      <c r="F321" s="2">
        <f>VLOOKUP(D321,Semaine_ref_trim!$C$1:$E$372,3,FALSE)</f>
        <v>47482</v>
      </c>
    </row>
    <row r="322" spans="1:6" x14ac:dyDescent="0.35">
      <c r="A322" t="s">
        <v>1469</v>
      </c>
      <c r="B322" s="8" t="s">
        <v>1464</v>
      </c>
      <c r="C322">
        <v>1</v>
      </c>
      <c r="D322" s="4" t="s">
        <v>1587</v>
      </c>
      <c r="E322" s="2">
        <f>VLOOKUP(D322,Semaine_ref_trim!$C$1:$E$372,2,FALSE)</f>
        <v>47483</v>
      </c>
      <c r="F322" s="2">
        <f>VLOOKUP(D322,Semaine_ref_trim!$C$1:$E$372,3,FALSE)</f>
        <v>47489</v>
      </c>
    </row>
    <row r="323" spans="1:6" x14ac:dyDescent="0.35">
      <c r="A323" t="s">
        <v>1469</v>
      </c>
      <c r="B323" s="8" t="s">
        <v>1464</v>
      </c>
      <c r="C323">
        <v>2</v>
      </c>
      <c r="D323" s="4" t="s">
        <v>1588</v>
      </c>
      <c r="E323" s="2">
        <f>VLOOKUP(D323,Semaine_ref_trim!$C$1:$E$372,2,FALSE)</f>
        <v>47490</v>
      </c>
      <c r="F323" s="2">
        <f>VLOOKUP(D323,Semaine_ref_trim!$C$1:$E$372,3,FALSE)</f>
        <v>47496</v>
      </c>
    </row>
    <row r="324" spans="1:6" x14ac:dyDescent="0.35">
      <c r="A324" t="s">
        <v>1469</v>
      </c>
      <c r="B324" s="8" t="s">
        <v>1464</v>
      </c>
      <c r="C324">
        <v>3</v>
      </c>
      <c r="D324" s="4" t="s">
        <v>1589</v>
      </c>
      <c r="E324" s="2">
        <f>VLOOKUP(D324,Semaine_ref_trim!$C$1:$E$372,2,FALSE)</f>
        <v>47497</v>
      </c>
      <c r="F324" s="2">
        <f>VLOOKUP(D324,Semaine_ref_trim!$C$1:$E$372,3,FALSE)</f>
        <v>47503</v>
      </c>
    </row>
    <row r="325" spans="1:6" x14ac:dyDescent="0.35">
      <c r="A325" t="s">
        <v>1469</v>
      </c>
      <c r="B325" s="8" t="s">
        <v>1464</v>
      </c>
      <c r="C325">
        <v>4</v>
      </c>
      <c r="D325" s="4" t="s">
        <v>1590</v>
      </c>
      <c r="E325" s="2">
        <f>VLOOKUP(D325,Semaine_ref_trim!$C$1:$E$372,2,FALSE)</f>
        <v>47504</v>
      </c>
      <c r="F325" s="2">
        <f>VLOOKUP(D325,Semaine_ref_trim!$C$1:$E$372,3,FALSE)</f>
        <v>47510</v>
      </c>
    </row>
    <row r="326" spans="1:6" x14ac:dyDescent="0.35">
      <c r="A326" t="s">
        <v>1469</v>
      </c>
      <c r="B326" s="8" t="s">
        <v>1464</v>
      </c>
      <c r="C326">
        <v>5</v>
      </c>
      <c r="D326" s="4" t="s">
        <v>1591</v>
      </c>
      <c r="E326" s="2">
        <f>VLOOKUP(D326,Semaine_ref_trim!$C$1:$E$372,2,FALSE)</f>
        <v>47511</v>
      </c>
      <c r="F326" s="2">
        <f>VLOOKUP(D326,Semaine_ref_trim!$C$1:$E$372,3,FALSE)</f>
        <v>47517</v>
      </c>
    </row>
    <row r="327" spans="1:6" x14ac:dyDescent="0.35">
      <c r="A327" t="s">
        <v>1469</v>
      </c>
      <c r="B327" s="8" t="s">
        <v>1464</v>
      </c>
      <c r="C327">
        <v>6</v>
      </c>
      <c r="D327" s="4" t="s">
        <v>1592</v>
      </c>
      <c r="E327" s="2">
        <f>VLOOKUP(D327,Semaine_ref_trim!$C$1:$E$372,2,FALSE)</f>
        <v>47518</v>
      </c>
      <c r="F327" s="2">
        <f>VLOOKUP(D327,Semaine_ref_trim!$C$1:$E$372,3,FALSE)</f>
        <v>47524</v>
      </c>
    </row>
    <row r="328" spans="1:6" x14ac:dyDescent="0.35">
      <c r="A328" t="s">
        <v>1469</v>
      </c>
      <c r="B328" s="8" t="s">
        <v>1464</v>
      </c>
      <c r="C328">
        <v>7</v>
      </c>
      <c r="D328" s="4" t="s">
        <v>1593</v>
      </c>
      <c r="E328" s="2">
        <f>VLOOKUP(D328,Semaine_ref_trim!$C$1:$E$372,2,FALSE)</f>
        <v>47525</v>
      </c>
      <c r="F328" s="2">
        <f>VLOOKUP(D328,Semaine_ref_trim!$C$1:$E$372,3,FALSE)</f>
        <v>47531</v>
      </c>
    </row>
    <row r="329" spans="1:6" x14ac:dyDescent="0.35">
      <c r="A329" t="s">
        <v>1469</v>
      </c>
      <c r="B329" s="8" t="s">
        <v>1464</v>
      </c>
      <c r="C329">
        <v>8</v>
      </c>
      <c r="D329" s="4" t="s">
        <v>1594</v>
      </c>
      <c r="E329" s="2">
        <f>VLOOKUP(D329,Semaine_ref_trim!$C$1:$E$372,2,FALSE)</f>
        <v>47532</v>
      </c>
      <c r="F329" s="2">
        <f>VLOOKUP(D329,Semaine_ref_trim!$C$1:$E$372,3,FALSE)</f>
        <v>47538</v>
      </c>
    </row>
    <row r="330" spans="1:6" x14ac:dyDescent="0.35">
      <c r="A330" t="s">
        <v>1469</v>
      </c>
      <c r="B330" s="8" t="s">
        <v>1464</v>
      </c>
      <c r="C330">
        <v>9</v>
      </c>
      <c r="D330" s="4" t="s">
        <v>1595</v>
      </c>
      <c r="E330" s="2">
        <f>VLOOKUP(D330,Semaine_ref_trim!$C$1:$E$372,2,FALSE)</f>
        <v>47539</v>
      </c>
      <c r="F330" s="2">
        <f>VLOOKUP(D330,Semaine_ref_trim!$C$1:$E$372,3,FALSE)</f>
        <v>47545</v>
      </c>
    </row>
    <row r="331" spans="1:6" x14ac:dyDescent="0.35">
      <c r="A331" t="s">
        <v>1469</v>
      </c>
      <c r="B331" s="8" t="s">
        <v>1464</v>
      </c>
      <c r="C331">
        <v>10</v>
      </c>
      <c r="D331" s="4" t="s">
        <v>1596</v>
      </c>
      <c r="E331" s="2">
        <f>VLOOKUP(D331,Semaine_ref_trim!$C$1:$E$372,2,FALSE)</f>
        <v>47546</v>
      </c>
      <c r="F331" s="2">
        <f>VLOOKUP(D331,Semaine_ref_trim!$C$1:$E$372,3,FALSE)</f>
        <v>47552</v>
      </c>
    </row>
    <row r="332" spans="1:6" x14ac:dyDescent="0.35">
      <c r="A332" t="s">
        <v>1469</v>
      </c>
      <c r="B332" s="8" t="s">
        <v>1464</v>
      </c>
      <c r="C332">
        <v>11</v>
      </c>
      <c r="D332" s="4" t="s">
        <v>1597</v>
      </c>
      <c r="E332" s="2">
        <f>VLOOKUP(D332,Semaine_ref_trim!$C$1:$E$372,2,FALSE)</f>
        <v>47553</v>
      </c>
      <c r="F332" s="2">
        <f>VLOOKUP(D332,Semaine_ref_trim!$C$1:$E$372,3,FALSE)</f>
        <v>47559</v>
      </c>
    </row>
    <row r="333" spans="1:6" x14ac:dyDescent="0.35">
      <c r="A333" t="s">
        <v>1469</v>
      </c>
      <c r="B333" s="8" t="s">
        <v>1464</v>
      </c>
      <c r="C333">
        <v>12</v>
      </c>
      <c r="D333" s="4" t="s">
        <v>1598</v>
      </c>
      <c r="E333" s="2">
        <f>VLOOKUP(D333,Semaine_ref_trim!$C$1:$E$372,2,FALSE)</f>
        <v>47560</v>
      </c>
      <c r="F333" s="2">
        <f>VLOOKUP(D333,Semaine_ref_trim!$C$1:$E$372,3,FALSE)</f>
        <v>47566</v>
      </c>
    </row>
    <row r="334" spans="1:6" x14ac:dyDescent="0.35">
      <c r="A334" t="s">
        <v>1469</v>
      </c>
      <c r="B334" s="8" t="s">
        <v>1464</v>
      </c>
      <c r="C334">
        <v>13</v>
      </c>
      <c r="D334" s="4" t="s">
        <v>1599</v>
      </c>
      <c r="E334" s="2">
        <f>VLOOKUP(D334,Semaine_ref_trim!$C$1:$E$372,2,FALSE)</f>
        <v>47567</v>
      </c>
      <c r="F334" s="2">
        <f>VLOOKUP(D334,Semaine_ref_trim!$C$1:$E$372,3,FALSE)</f>
        <v>47573</v>
      </c>
    </row>
    <row r="335" spans="1:6" x14ac:dyDescent="0.35">
      <c r="A335" t="s">
        <v>1469</v>
      </c>
      <c r="B335" s="8" t="s">
        <v>1466</v>
      </c>
      <c r="C335">
        <v>1</v>
      </c>
      <c r="D335" t="str">
        <f>D322</f>
        <v>Monday 31 December 2029</v>
      </c>
      <c r="E335" s="2">
        <f>VLOOKUP(D335,Semaine_ref_trim!$C$1:$E$372,2,FALSE)</f>
        <v>47483</v>
      </c>
      <c r="F335" s="2">
        <f>VLOOKUP(D335,Semaine_ref_trim!$C$1:$E$372,3,FALSE)</f>
        <v>47489</v>
      </c>
    </row>
    <row r="336" spans="1:6" x14ac:dyDescent="0.35">
      <c r="A336" t="s">
        <v>1469</v>
      </c>
      <c r="B336" s="8" t="s">
        <v>1466</v>
      </c>
      <c r="C336">
        <v>2</v>
      </c>
      <c r="D336" t="str">
        <f>D324</f>
        <v>Monday 14 January 2030</v>
      </c>
      <c r="E336" s="2">
        <f>VLOOKUP(D336,Semaine_ref_trim!$C$1:$E$372,2,FALSE)</f>
        <v>47497</v>
      </c>
      <c r="F336" s="2">
        <f>VLOOKUP(D336,Semaine_ref_trim!$C$1:$E$372,3,FALSE)</f>
        <v>47503</v>
      </c>
    </row>
    <row r="337" spans="1:6" x14ac:dyDescent="0.35">
      <c r="A337" t="s">
        <v>1469</v>
      </c>
      <c r="B337" s="8" t="s">
        <v>1466</v>
      </c>
      <c r="C337">
        <v>3</v>
      </c>
      <c r="D337" t="str">
        <f>D326</f>
        <v>Monday 28 January 2030</v>
      </c>
      <c r="E337" s="2">
        <f>VLOOKUP(D337,Semaine_ref_trim!$C$1:$E$372,2,FALSE)</f>
        <v>47511</v>
      </c>
      <c r="F337" s="2">
        <f>VLOOKUP(D337,Semaine_ref_trim!$C$1:$E$372,3,FALSE)</f>
        <v>47517</v>
      </c>
    </row>
    <row r="338" spans="1:6" x14ac:dyDescent="0.35">
      <c r="A338" t="s">
        <v>1469</v>
      </c>
      <c r="B338" s="8" t="s">
        <v>1466</v>
      </c>
      <c r="C338">
        <v>4</v>
      </c>
      <c r="D338" t="str">
        <f>D328</f>
        <v>Monday 11 February 2030</v>
      </c>
      <c r="E338" s="2">
        <f>VLOOKUP(D338,Semaine_ref_trim!$C$1:$E$372,2,FALSE)</f>
        <v>47525</v>
      </c>
      <c r="F338" s="2">
        <f>VLOOKUP(D338,Semaine_ref_trim!$C$1:$E$372,3,FALSE)</f>
        <v>47531</v>
      </c>
    </row>
    <row r="339" spans="1:6" x14ac:dyDescent="0.35">
      <c r="A339" t="s">
        <v>1469</v>
      </c>
      <c r="B339" s="8" t="s">
        <v>1466</v>
      </c>
      <c r="C339">
        <v>5</v>
      </c>
      <c r="D339" t="str">
        <f>D330</f>
        <v>Monday 25 February 2030</v>
      </c>
      <c r="E339" s="2">
        <f>VLOOKUP(D339,Semaine_ref_trim!$C$1:$E$372,2,FALSE)</f>
        <v>47539</v>
      </c>
      <c r="F339" s="2">
        <f>VLOOKUP(D339,Semaine_ref_trim!$C$1:$E$372,3,FALSE)</f>
        <v>47545</v>
      </c>
    </row>
    <row r="340" spans="1:6" x14ac:dyDescent="0.35">
      <c r="A340" t="s">
        <v>1469</v>
      </c>
      <c r="B340" s="8" t="s">
        <v>1466</v>
      </c>
      <c r="C340">
        <v>6</v>
      </c>
      <c r="D340" t="str">
        <f>D332</f>
        <v>Monday 11 March 2030</v>
      </c>
      <c r="E340" s="2">
        <f>VLOOKUP(D340,Semaine_ref_trim!$C$1:$E$372,2,FALSE)</f>
        <v>47553</v>
      </c>
      <c r="F340" s="2">
        <f>VLOOKUP(D340,Semaine_ref_trim!$C$1:$E$372,3,FALSE)</f>
        <v>47559</v>
      </c>
    </row>
    <row r="341" spans="1:6" x14ac:dyDescent="0.35">
      <c r="A341" t="s">
        <v>1469</v>
      </c>
      <c r="B341" s="8" t="s">
        <v>1466</v>
      </c>
      <c r="C341">
        <v>7</v>
      </c>
      <c r="D341" t="str">
        <f>D334</f>
        <v>Monday 25 March 2030</v>
      </c>
      <c r="E341" s="2">
        <f>VLOOKUP(D341,Semaine_ref_trim!$C$1:$E$372,2,FALSE)</f>
        <v>47567</v>
      </c>
      <c r="F341" s="2">
        <f>VLOOKUP(D341,Semaine_ref_trim!$C$1:$E$372,3,FALSE)</f>
        <v>47573</v>
      </c>
    </row>
    <row r="342" spans="1:6" x14ac:dyDescent="0.35">
      <c r="A342" t="s">
        <v>1476</v>
      </c>
      <c r="B342" s="8" t="s">
        <v>1464</v>
      </c>
      <c r="C342">
        <v>1</v>
      </c>
      <c r="D342" s="4" t="s">
        <v>1599</v>
      </c>
      <c r="E342" s="2">
        <f>VLOOKUP(D342,Semaine_ref_trim!$C$1:$E$372,2,FALSE)</f>
        <v>47567</v>
      </c>
      <c r="F342" s="2">
        <f>VLOOKUP(D342,Semaine_ref_trim!$C$1:$E$372,3,FALSE)</f>
        <v>47573</v>
      </c>
    </row>
    <row r="343" spans="1:6" x14ac:dyDescent="0.35">
      <c r="A343" t="s">
        <v>1476</v>
      </c>
      <c r="B343" s="8" t="s">
        <v>1464</v>
      </c>
      <c r="C343">
        <v>2</v>
      </c>
      <c r="D343" s="4" t="s">
        <v>1600</v>
      </c>
      <c r="E343" s="2">
        <f>VLOOKUP(D343,Semaine_ref_trim!$C$1:$E$372,2,FALSE)</f>
        <v>47574</v>
      </c>
      <c r="F343" s="2">
        <f>VLOOKUP(D343,Semaine_ref_trim!$C$1:$E$372,3,FALSE)</f>
        <v>47580</v>
      </c>
    </row>
    <row r="344" spans="1:6" x14ac:dyDescent="0.35">
      <c r="A344" t="s">
        <v>1476</v>
      </c>
      <c r="B344" s="8" t="s">
        <v>1464</v>
      </c>
      <c r="C344">
        <v>3</v>
      </c>
      <c r="D344" s="4" t="s">
        <v>1601</v>
      </c>
      <c r="E344" s="2">
        <f>VLOOKUP(D344,Semaine_ref_trim!$C$1:$E$372,2,FALSE)</f>
        <v>47581</v>
      </c>
      <c r="F344" s="2">
        <f>VLOOKUP(D344,Semaine_ref_trim!$C$1:$E$372,3,FALSE)</f>
        <v>47587</v>
      </c>
    </row>
    <row r="345" spans="1:6" x14ac:dyDescent="0.35">
      <c r="A345" t="s">
        <v>1476</v>
      </c>
      <c r="B345" s="8" t="s">
        <v>1464</v>
      </c>
      <c r="C345">
        <v>4</v>
      </c>
      <c r="D345" s="4" t="s">
        <v>1602</v>
      </c>
      <c r="E345" s="2">
        <f>VLOOKUP(D345,Semaine_ref_trim!$C$1:$E$372,2,FALSE)</f>
        <v>47588</v>
      </c>
      <c r="F345" s="2">
        <f>VLOOKUP(D345,Semaine_ref_trim!$C$1:$E$372,3,FALSE)</f>
        <v>47594</v>
      </c>
    </row>
    <row r="346" spans="1:6" x14ac:dyDescent="0.35">
      <c r="A346" t="s">
        <v>1476</v>
      </c>
      <c r="B346" s="8" t="s">
        <v>1464</v>
      </c>
      <c r="C346">
        <v>5</v>
      </c>
      <c r="D346" s="4" t="s">
        <v>1603</v>
      </c>
      <c r="E346" s="2">
        <f>VLOOKUP(D346,Semaine_ref_trim!$C$1:$E$372,2,FALSE)</f>
        <v>47595</v>
      </c>
      <c r="F346" s="2">
        <f>VLOOKUP(D346,Semaine_ref_trim!$C$1:$E$372,3,FALSE)</f>
        <v>47601</v>
      </c>
    </row>
    <row r="347" spans="1:6" x14ac:dyDescent="0.35">
      <c r="A347" t="s">
        <v>1476</v>
      </c>
      <c r="B347" s="8" t="s">
        <v>1464</v>
      </c>
      <c r="C347">
        <v>6</v>
      </c>
      <c r="D347" s="4" t="s">
        <v>1604</v>
      </c>
      <c r="E347" s="2">
        <f>VLOOKUP(D347,Semaine_ref_trim!$C$1:$E$372,2,FALSE)</f>
        <v>47602</v>
      </c>
      <c r="F347" s="2">
        <f>VLOOKUP(D347,Semaine_ref_trim!$C$1:$E$372,3,FALSE)</f>
        <v>47608</v>
      </c>
    </row>
    <row r="348" spans="1:6" x14ac:dyDescent="0.35">
      <c r="A348" t="s">
        <v>1476</v>
      </c>
      <c r="B348" s="8" t="s">
        <v>1464</v>
      </c>
      <c r="C348">
        <v>7</v>
      </c>
      <c r="D348" s="4" t="s">
        <v>1605</v>
      </c>
      <c r="E348" s="2">
        <f>VLOOKUP(D348,Semaine_ref_trim!$C$1:$E$372,2,FALSE)</f>
        <v>47609</v>
      </c>
      <c r="F348" s="2">
        <f>VLOOKUP(D348,Semaine_ref_trim!$C$1:$E$372,3,FALSE)</f>
        <v>47615</v>
      </c>
    </row>
    <row r="349" spans="1:6" x14ac:dyDescent="0.35">
      <c r="A349" t="s">
        <v>1476</v>
      </c>
      <c r="B349" s="8" t="s">
        <v>1464</v>
      </c>
      <c r="C349">
        <v>8</v>
      </c>
      <c r="D349" s="4" t="s">
        <v>1606</v>
      </c>
      <c r="E349" s="2">
        <f>VLOOKUP(D349,Semaine_ref_trim!$C$1:$E$372,2,FALSE)</f>
        <v>47616</v>
      </c>
      <c r="F349" s="2">
        <f>VLOOKUP(D349,Semaine_ref_trim!$C$1:$E$372,3,FALSE)</f>
        <v>47622</v>
      </c>
    </row>
    <row r="350" spans="1:6" x14ac:dyDescent="0.35">
      <c r="A350" t="s">
        <v>1476</v>
      </c>
      <c r="B350" s="8" t="s">
        <v>1464</v>
      </c>
      <c r="C350">
        <v>9</v>
      </c>
      <c r="D350" s="4" t="s">
        <v>1607</v>
      </c>
      <c r="E350" s="2">
        <f>VLOOKUP(D350,Semaine_ref_trim!$C$1:$E$372,2,FALSE)</f>
        <v>47623</v>
      </c>
      <c r="F350" s="2">
        <f>VLOOKUP(D350,Semaine_ref_trim!$C$1:$E$372,3,FALSE)</f>
        <v>47629</v>
      </c>
    </row>
    <row r="351" spans="1:6" x14ac:dyDescent="0.35">
      <c r="A351" t="s">
        <v>1476</v>
      </c>
      <c r="B351" s="8" t="s">
        <v>1464</v>
      </c>
      <c r="C351">
        <v>10</v>
      </c>
      <c r="D351" s="4" t="s">
        <v>1608</v>
      </c>
      <c r="E351" s="2">
        <f>VLOOKUP(D351,Semaine_ref_trim!$C$1:$E$372,2,FALSE)</f>
        <v>47630</v>
      </c>
      <c r="F351" s="2">
        <f>VLOOKUP(D351,Semaine_ref_trim!$C$1:$E$372,3,FALSE)</f>
        <v>47636</v>
      </c>
    </row>
    <row r="352" spans="1:6" x14ac:dyDescent="0.35">
      <c r="A352" t="s">
        <v>1476</v>
      </c>
      <c r="B352" s="8" t="s">
        <v>1464</v>
      </c>
      <c r="C352">
        <v>11</v>
      </c>
      <c r="D352" s="4" t="s">
        <v>1609</v>
      </c>
      <c r="E352" s="2">
        <f>VLOOKUP(D352,Semaine_ref_trim!$C$1:$E$372,2,FALSE)</f>
        <v>47637</v>
      </c>
      <c r="F352" s="2">
        <f>VLOOKUP(D352,Semaine_ref_trim!$C$1:$E$372,3,FALSE)</f>
        <v>47643</v>
      </c>
    </row>
    <row r="353" spans="1:6" x14ac:dyDescent="0.35">
      <c r="A353" t="s">
        <v>1476</v>
      </c>
      <c r="B353" s="8" t="s">
        <v>1464</v>
      </c>
      <c r="C353">
        <v>12</v>
      </c>
      <c r="D353" s="4" t="s">
        <v>1610</v>
      </c>
      <c r="E353" s="2">
        <f>VLOOKUP(D353,Semaine_ref_trim!$C$1:$E$372,2,FALSE)</f>
        <v>47644</v>
      </c>
      <c r="F353" s="2">
        <f>VLOOKUP(D353,Semaine_ref_trim!$C$1:$E$372,3,FALSE)</f>
        <v>47650</v>
      </c>
    </row>
    <row r="354" spans="1:6" x14ac:dyDescent="0.35">
      <c r="A354" t="s">
        <v>1476</v>
      </c>
      <c r="B354" s="8" t="s">
        <v>1464</v>
      </c>
      <c r="C354">
        <v>13</v>
      </c>
      <c r="D354" s="4" t="s">
        <v>1611</v>
      </c>
      <c r="E354" s="2">
        <f>VLOOKUP(D354,Semaine_ref_trim!$C$1:$E$372,2,FALSE)</f>
        <v>47651</v>
      </c>
      <c r="F354" s="2">
        <f>VLOOKUP(D354,Semaine_ref_trim!$C$1:$E$372,3,FALSE)</f>
        <v>47657</v>
      </c>
    </row>
    <row r="355" spans="1:6" x14ac:dyDescent="0.35">
      <c r="A355" t="s">
        <v>1476</v>
      </c>
      <c r="B355" s="8" t="s">
        <v>1466</v>
      </c>
      <c r="C355">
        <v>1</v>
      </c>
      <c r="D355" t="str">
        <f>D342</f>
        <v>Monday 25 March 2030</v>
      </c>
      <c r="E355" s="2">
        <f>VLOOKUP(D355,Semaine_ref_trim!$C$1:$E$372,2,FALSE)</f>
        <v>47567</v>
      </c>
      <c r="F355" s="2">
        <f>VLOOKUP(D355,Semaine_ref_trim!$C$1:$E$372,3,FALSE)</f>
        <v>47573</v>
      </c>
    </row>
    <row r="356" spans="1:6" x14ac:dyDescent="0.35">
      <c r="A356" t="s">
        <v>1476</v>
      </c>
      <c r="B356" s="8" t="s">
        <v>1466</v>
      </c>
      <c r="C356">
        <v>2</v>
      </c>
      <c r="D356" t="str">
        <f>D344</f>
        <v>Monday 8 April 2030</v>
      </c>
      <c r="E356" s="2">
        <f>VLOOKUP(D356,Semaine_ref_trim!$C$1:$E$372,2,FALSE)</f>
        <v>47581</v>
      </c>
      <c r="F356" s="2">
        <f>VLOOKUP(D356,Semaine_ref_trim!$C$1:$E$372,3,FALSE)</f>
        <v>47587</v>
      </c>
    </row>
    <row r="357" spans="1:6" x14ac:dyDescent="0.35">
      <c r="A357" t="s">
        <v>1476</v>
      </c>
      <c r="B357" s="8" t="s">
        <v>1466</v>
      </c>
      <c r="C357">
        <v>3</v>
      </c>
      <c r="D357" t="str">
        <f>D346</f>
        <v>Monday 22 April 2030</v>
      </c>
      <c r="E357" s="2">
        <f>VLOOKUP(D357,Semaine_ref_trim!$C$1:$E$372,2,FALSE)</f>
        <v>47595</v>
      </c>
      <c r="F357" s="2">
        <f>VLOOKUP(D357,Semaine_ref_trim!$C$1:$E$372,3,FALSE)</f>
        <v>47601</v>
      </c>
    </row>
    <row r="358" spans="1:6" x14ac:dyDescent="0.35">
      <c r="A358" t="s">
        <v>1476</v>
      </c>
      <c r="B358" s="8" t="s">
        <v>1466</v>
      </c>
      <c r="C358">
        <v>4</v>
      </c>
      <c r="D358" t="str">
        <f>D348</f>
        <v>Monday 6 May 2030</v>
      </c>
      <c r="E358" s="2">
        <f>VLOOKUP(D358,Semaine_ref_trim!$C$1:$E$372,2,FALSE)</f>
        <v>47609</v>
      </c>
      <c r="F358" s="2">
        <f>VLOOKUP(D358,Semaine_ref_trim!$C$1:$E$372,3,FALSE)</f>
        <v>47615</v>
      </c>
    </row>
    <row r="359" spans="1:6" x14ac:dyDescent="0.35">
      <c r="A359" t="s">
        <v>1476</v>
      </c>
      <c r="B359" s="8" t="s">
        <v>1466</v>
      </c>
      <c r="C359">
        <v>5</v>
      </c>
      <c r="D359" t="str">
        <f>D350</f>
        <v>Monday 20 May 2030</v>
      </c>
      <c r="E359" s="2">
        <f>VLOOKUP(D359,Semaine_ref_trim!$C$1:$E$372,2,FALSE)</f>
        <v>47623</v>
      </c>
      <c r="F359" s="2">
        <f>VLOOKUP(D359,Semaine_ref_trim!$C$1:$E$372,3,FALSE)</f>
        <v>47629</v>
      </c>
    </row>
    <row r="360" spans="1:6" x14ac:dyDescent="0.35">
      <c r="A360" t="s">
        <v>1476</v>
      </c>
      <c r="B360" s="8" t="s">
        <v>1466</v>
      </c>
      <c r="C360">
        <v>6</v>
      </c>
      <c r="D360" t="str">
        <f>D352</f>
        <v>Monday 3 June 2030</v>
      </c>
      <c r="E360" s="2">
        <f>VLOOKUP(D360,Semaine_ref_trim!$C$1:$E$372,2,FALSE)</f>
        <v>47637</v>
      </c>
      <c r="F360" s="2">
        <f>VLOOKUP(D360,Semaine_ref_trim!$C$1:$E$372,3,FALSE)</f>
        <v>47643</v>
      </c>
    </row>
    <row r="361" spans="1:6" x14ac:dyDescent="0.35">
      <c r="A361" t="s">
        <v>1476</v>
      </c>
      <c r="B361" s="8" t="s">
        <v>1466</v>
      </c>
      <c r="C361">
        <v>7</v>
      </c>
      <c r="D361" t="str">
        <f>D354</f>
        <v>Monday 17 June 2030</v>
      </c>
      <c r="E361" s="2">
        <f>VLOOKUP(D361,Semaine_ref_trim!$C$1:$E$372,2,FALSE)</f>
        <v>47651</v>
      </c>
      <c r="F361" s="2">
        <f>VLOOKUP(D361,Semaine_ref_trim!$C$1:$E$372,3,FALSE)</f>
        <v>47657</v>
      </c>
    </row>
    <row r="362" spans="1:6" x14ac:dyDescent="0.35">
      <c r="A362" t="s">
        <v>1479</v>
      </c>
      <c r="B362" s="8" t="s">
        <v>1464</v>
      </c>
      <c r="C362">
        <v>1</v>
      </c>
      <c r="D362" s="4" t="s">
        <v>1612</v>
      </c>
      <c r="E362" s="2">
        <f>VLOOKUP(D362,Semaine_ref_trim!$C$1:$E$372,2,FALSE)</f>
        <v>47658</v>
      </c>
      <c r="F362" s="2">
        <f>VLOOKUP(D362,Semaine_ref_trim!$C$1:$E$372,3,FALSE)</f>
        <v>47664</v>
      </c>
    </row>
    <row r="363" spans="1:6" x14ac:dyDescent="0.35">
      <c r="A363" t="s">
        <v>1479</v>
      </c>
      <c r="B363" s="8" t="s">
        <v>1464</v>
      </c>
      <c r="C363">
        <v>2</v>
      </c>
      <c r="D363" s="4" t="s">
        <v>1613</v>
      </c>
      <c r="E363" s="2">
        <f>VLOOKUP(D363,Semaine_ref_trim!$C$1:$E$372,2,FALSE)</f>
        <v>47665</v>
      </c>
      <c r="F363" s="2">
        <f>VLOOKUP(D363,Semaine_ref_trim!$C$1:$E$372,3,FALSE)</f>
        <v>47671</v>
      </c>
    </row>
    <row r="364" spans="1:6" x14ac:dyDescent="0.35">
      <c r="A364" t="s">
        <v>1479</v>
      </c>
      <c r="B364" s="8" t="s">
        <v>1464</v>
      </c>
      <c r="C364">
        <v>3</v>
      </c>
      <c r="D364" s="4" t="s">
        <v>1614</v>
      </c>
      <c r="E364" s="2">
        <f>VLOOKUP(D364,Semaine_ref_trim!$C$1:$E$372,2,FALSE)</f>
        <v>47672</v>
      </c>
      <c r="F364" s="2">
        <f>VLOOKUP(D364,Semaine_ref_trim!$C$1:$E$372,3,FALSE)</f>
        <v>47678</v>
      </c>
    </row>
    <row r="365" spans="1:6" x14ac:dyDescent="0.35">
      <c r="A365" t="s">
        <v>1479</v>
      </c>
      <c r="B365" s="8" t="s">
        <v>1464</v>
      </c>
      <c r="C365">
        <v>4</v>
      </c>
      <c r="D365" s="4" t="s">
        <v>1615</v>
      </c>
      <c r="E365" s="2">
        <f>VLOOKUP(D365,Semaine_ref_trim!$C$1:$E$372,2,FALSE)</f>
        <v>47679</v>
      </c>
      <c r="F365" s="2">
        <f>VLOOKUP(D365,Semaine_ref_trim!$C$1:$E$372,3,FALSE)</f>
        <v>47685</v>
      </c>
    </row>
    <row r="366" spans="1:6" x14ac:dyDescent="0.35">
      <c r="A366" t="s">
        <v>1479</v>
      </c>
      <c r="B366" s="8" t="s">
        <v>1464</v>
      </c>
      <c r="C366">
        <v>5</v>
      </c>
      <c r="D366" s="4" t="s">
        <v>1616</v>
      </c>
      <c r="E366" s="2">
        <f>VLOOKUP(D366,Semaine_ref_trim!$C$1:$E$372,2,FALSE)</f>
        <v>47686</v>
      </c>
      <c r="F366" s="2">
        <f>VLOOKUP(D366,Semaine_ref_trim!$C$1:$E$372,3,FALSE)</f>
        <v>47692</v>
      </c>
    </row>
    <row r="367" spans="1:6" x14ac:dyDescent="0.35">
      <c r="A367" t="s">
        <v>1479</v>
      </c>
      <c r="B367" s="8" t="s">
        <v>1464</v>
      </c>
      <c r="C367">
        <v>6</v>
      </c>
      <c r="D367" s="4" t="s">
        <v>1617</v>
      </c>
      <c r="E367" s="2">
        <f>VLOOKUP(D367,Semaine_ref_trim!$C$1:$E$372,2,FALSE)</f>
        <v>47693</v>
      </c>
      <c r="F367" s="2">
        <f>VLOOKUP(D367,Semaine_ref_trim!$C$1:$E$372,3,FALSE)</f>
        <v>47699</v>
      </c>
    </row>
    <row r="368" spans="1:6" x14ac:dyDescent="0.35">
      <c r="A368" t="s">
        <v>1479</v>
      </c>
      <c r="B368" s="8" t="s">
        <v>1464</v>
      </c>
      <c r="C368">
        <v>7</v>
      </c>
      <c r="D368" s="4" t="s">
        <v>1618</v>
      </c>
      <c r="E368" s="2">
        <f>VLOOKUP(D368,Semaine_ref_trim!$C$1:$E$372,2,FALSE)</f>
        <v>47700</v>
      </c>
      <c r="F368" s="2">
        <f>VLOOKUP(D368,Semaine_ref_trim!$C$1:$E$372,3,FALSE)</f>
        <v>47706</v>
      </c>
    </row>
    <row r="369" spans="1:6" x14ac:dyDescent="0.35">
      <c r="A369" t="s">
        <v>1479</v>
      </c>
      <c r="B369" s="8" t="s">
        <v>1464</v>
      </c>
      <c r="C369">
        <v>8</v>
      </c>
      <c r="D369" s="4" t="s">
        <v>1619</v>
      </c>
      <c r="E369" s="2">
        <f>VLOOKUP(D369,Semaine_ref_trim!$C$1:$E$372,2,FALSE)</f>
        <v>47707</v>
      </c>
      <c r="F369" s="2">
        <f>VLOOKUP(D369,Semaine_ref_trim!$C$1:$E$372,3,FALSE)</f>
        <v>47713</v>
      </c>
    </row>
    <row r="370" spans="1:6" x14ac:dyDescent="0.35">
      <c r="A370" t="s">
        <v>1479</v>
      </c>
      <c r="B370" s="8" t="s">
        <v>1464</v>
      </c>
      <c r="C370">
        <v>9</v>
      </c>
      <c r="D370" s="4" t="s">
        <v>1620</v>
      </c>
      <c r="E370" s="2">
        <f>VLOOKUP(D370,Semaine_ref_trim!$C$1:$E$372,2,FALSE)</f>
        <v>47714</v>
      </c>
      <c r="F370" s="2">
        <f>VLOOKUP(D370,Semaine_ref_trim!$C$1:$E$372,3,FALSE)</f>
        <v>47720</v>
      </c>
    </row>
    <row r="371" spans="1:6" x14ac:dyDescent="0.35">
      <c r="A371" t="s">
        <v>1479</v>
      </c>
      <c r="B371" s="8" t="s">
        <v>1464</v>
      </c>
      <c r="C371">
        <v>10</v>
      </c>
      <c r="D371" s="4" t="s">
        <v>1621</v>
      </c>
      <c r="E371" s="2">
        <f>VLOOKUP(D371,Semaine_ref_trim!$C$1:$E$372,2,FALSE)</f>
        <v>47721</v>
      </c>
      <c r="F371" s="2">
        <f>VLOOKUP(D371,Semaine_ref_trim!$C$1:$E$372,3,FALSE)</f>
        <v>47727</v>
      </c>
    </row>
    <row r="372" spans="1:6" x14ac:dyDescent="0.35">
      <c r="A372" t="s">
        <v>1479</v>
      </c>
      <c r="B372" s="8" t="s">
        <v>1464</v>
      </c>
      <c r="C372">
        <v>11</v>
      </c>
      <c r="D372" s="4" t="s">
        <v>1622</v>
      </c>
      <c r="E372" s="2">
        <f>VLOOKUP(D372,Semaine_ref_trim!$C$1:$E$372,2,FALSE)</f>
        <v>47728</v>
      </c>
      <c r="F372" s="2">
        <f>VLOOKUP(D372,Semaine_ref_trim!$C$1:$E$372,3,FALSE)</f>
        <v>47734</v>
      </c>
    </row>
    <row r="373" spans="1:6" x14ac:dyDescent="0.35">
      <c r="A373" t="s">
        <v>1479</v>
      </c>
      <c r="B373" s="8" t="s">
        <v>1464</v>
      </c>
      <c r="C373">
        <v>12</v>
      </c>
      <c r="D373" s="4" t="s">
        <v>1623</v>
      </c>
      <c r="E373" s="2">
        <f>VLOOKUP(D373,Semaine_ref_trim!$C$1:$E$372,2,FALSE)</f>
        <v>47735</v>
      </c>
      <c r="F373" s="2">
        <f>VLOOKUP(D373,Semaine_ref_trim!$C$1:$E$372,3,FALSE)</f>
        <v>47741</v>
      </c>
    </row>
    <row r="374" spans="1:6" ht="17" customHeight="1" x14ac:dyDescent="0.35">
      <c r="A374" t="s">
        <v>1479</v>
      </c>
      <c r="B374" s="8" t="s">
        <v>1464</v>
      </c>
      <c r="C374">
        <v>13</v>
      </c>
      <c r="D374" s="4" t="s">
        <v>1624</v>
      </c>
      <c r="E374" s="2">
        <f>VLOOKUP(D374,Semaine_ref_trim!$C$1:$E$372,2,FALSE)</f>
        <v>47742</v>
      </c>
      <c r="F374" s="2">
        <f>VLOOKUP(D374,Semaine_ref_trim!$C$1:$E$372,3,FALSE)</f>
        <v>47748</v>
      </c>
    </row>
    <row r="375" spans="1:6" x14ac:dyDescent="0.35">
      <c r="A375" t="s">
        <v>1479</v>
      </c>
      <c r="B375" s="8" t="s">
        <v>1466</v>
      </c>
      <c r="C375">
        <v>1</v>
      </c>
      <c r="D375" t="str">
        <f>D362</f>
        <v>Monday 24 June 2030</v>
      </c>
      <c r="E375" s="2">
        <f>VLOOKUP(D375,Semaine_ref_trim!$C$1:$E$372,2,FALSE)</f>
        <v>47658</v>
      </c>
      <c r="F375" s="2">
        <f>VLOOKUP(D375,Semaine_ref_trim!$C$1:$E$372,3,FALSE)</f>
        <v>47664</v>
      </c>
    </row>
    <row r="376" spans="1:6" x14ac:dyDescent="0.35">
      <c r="A376" t="s">
        <v>1479</v>
      </c>
      <c r="B376" s="8" t="s">
        <v>1466</v>
      </c>
      <c r="C376">
        <v>2</v>
      </c>
      <c r="D376" t="str">
        <f>D364</f>
        <v>Monday 8 July 2030</v>
      </c>
      <c r="E376" s="2">
        <f>VLOOKUP(D376,Semaine_ref_trim!$C$1:$E$372,2,FALSE)</f>
        <v>47672</v>
      </c>
      <c r="F376" s="2">
        <f>VLOOKUP(D376,Semaine_ref_trim!$C$1:$E$372,3,FALSE)</f>
        <v>47678</v>
      </c>
    </row>
    <row r="377" spans="1:6" x14ac:dyDescent="0.35">
      <c r="A377" t="s">
        <v>1479</v>
      </c>
      <c r="B377" s="8" t="s">
        <v>1466</v>
      </c>
      <c r="C377">
        <v>3</v>
      </c>
      <c r="D377" t="str">
        <f>D366</f>
        <v>Monday 22 July 2030</v>
      </c>
      <c r="E377" s="2">
        <f>VLOOKUP(D377,Semaine_ref_trim!$C$1:$E$372,2,FALSE)</f>
        <v>47686</v>
      </c>
      <c r="F377" s="2">
        <f>VLOOKUP(D377,Semaine_ref_trim!$C$1:$E$372,3,FALSE)</f>
        <v>47692</v>
      </c>
    </row>
    <row r="378" spans="1:6" x14ac:dyDescent="0.35">
      <c r="A378" t="s">
        <v>1479</v>
      </c>
      <c r="B378" s="8" t="s">
        <v>1466</v>
      </c>
      <c r="C378">
        <v>4</v>
      </c>
      <c r="D378" t="str">
        <f>D368</f>
        <v>Monday 5 August 2030</v>
      </c>
      <c r="E378" s="2">
        <f>VLOOKUP(D378,Semaine_ref_trim!$C$1:$E$372,2,FALSE)</f>
        <v>47700</v>
      </c>
      <c r="F378" s="2">
        <f>VLOOKUP(D378,Semaine_ref_trim!$C$1:$E$372,3,FALSE)</f>
        <v>47706</v>
      </c>
    </row>
    <row r="379" spans="1:6" x14ac:dyDescent="0.35">
      <c r="A379" t="s">
        <v>1479</v>
      </c>
      <c r="B379" s="8" t="s">
        <v>1466</v>
      </c>
      <c r="C379">
        <v>5</v>
      </c>
      <c r="D379" t="str">
        <f>D370</f>
        <v>Monday 19 August 2030</v>
      </c>
      <c r="E379" s="2">
        <f>VLOOKUP(D379,Semaine_ref_trim!$C$1:$E$372,2,FALSE)</f>
        <v>47714</v>
      </c>
      <c r="F379" s="2">
        <f>VLOOKUP(D379,Semaine_ref_trim!$C$1:$E$372,3,FALSE)</f>
        <v>47720</v>
      </c>
    </row>
    <row r="380" spans="1:6" x14ac:dyDescent="0.35">
      <c r="A380" t="s">
        <v>1479</v>
      </c>
      <c r="B380" s="8" t="s">
        <v>1466</v>
      </c>
      <c r="C380">
        <v>6</v>
      </c>
      <c r="D380" t="str">
        <f>D372</f>
        <v>Monday 2 September 2030</v>
      </c>
      <c r="E380" s="2">
        <f>VLOOKUP(D380,Semaine_ref_trim!$C$1:$E$372,2,FALSE)</f>
        <v>47728</v>
      </c>
      <c r="F380" s="2">
        <f>VLOOKUP(D380,Semaine_ref_trim!$C$1:$E$372,3,FALSE)</f>
        <v>47734</v>
      </c>
    </row>
    <row r="381" spans="1:6" x14ac:dyDescent="0.35">
      <c r="A381" t="s">
        <v>1479</v>
      </c>
      <c r="B381" s="8" t="s">
        <v>1466</v>
      </c>
      <c r="C381">
        <v>7</v>
      </c>
      <c r="D381" t="str">
        <f>D374</f>
        <v>Monday 16 September 2030</v>
      </c>
      <c r="E381" s="2">
        <f>VLOOKUP(D381,Semaine_ref_trim!$C$1:$E$372,2,FALSE)</f>
        <v>47742</v>
      </c>
      <c r="F381" s="2">
        <f>VLOOKUP(D381,Semaine_ref_trim!$C$1:$E$372,3,FALSE)</f>
        <v>47748</v>
      </c>
    </row>
    <row r="382" spans="1:6" ht="17.5" customHeight="1" x14ac:dyDescent="0.35">
      <c r="A382" t="s">
        <v>1482</v>
      </c>
      <c r="B382" s="8" t="s">
        <v>1464</v>
      </c>
      <c r="C382">
        <v>1</v>
      </c>
      <c r="D382" s="4" t="s">
        <v>1625</v>
      </c>
      <c r="E382" s="2">
        <f>VLOOKUP(D382,Semaine_ref_trim!$C$1:$E$372,2,FALSE)</f>
        <v>47756</v>
      </c>
      <c r="F382" s="2">
        <f>VLOOKUP(D382,Semaine_ref_trim!$C$1:$E$372,3,FALSE)</f>
        <v>47762</v>
      </c>
    </row>
    <row r="383" spans="1:6" x14ac:dyDescent="0.35">
      <c r="A383" t="s">
        <v>1482</v>
      </c>
      <c r="B383" s="8" t="s">
        <v>1464</v>
      </c>
      <c r="C383">
        <v>2</v>
      </c>
      <c r="D383" s="4" t="s">
        <v>1626</v>
      </c>
      <c r="E383" s="2">
        <f>VLOOKUP(D383,Semaine_ref_trim!$C$1:$E$372,2,FALSE)</f>
        <v>47763</v>
      </c>
      <c r="F383" s="2">
        <f>VLOOKUP(D383,Semaine_ref_trim!$C$1:$E$372,3,FALSE)</f>
        <v>47769</v>
      </c>
    </row>
    <row r="384" spans="1:6" x14ac:dyDescent="0.35">
      <c r="A384" t="s">
        <v>1482</v>
      </c>
      <c r="B384" s="8" t="s">
        <v>1464</v>
      </c>
      <c r="C384">
        <v>3</v>
      </c>
      <c r="D384" s="4" t="s">
        <v>1627</v>
      </c>
      <c r="E384" s="2">
        <f>VLOOKUP(D384,Semaine_ref_trim!$C$1:$E$372,2,FALSE)</f>
        <v>47770</v>
      </c>
      <c r="F384" s="2">
        <f>VLOOKUP(D384,Semaine_ref_trim!$C$1:$E$372,3,FALSE)</f>
        <v>47776</v>
      </c>
    </row>
    <row r="385" spans="1:6" x14ac:dyDescent="0.35">
      <c r="A385" t="s">
        <v>1482</v>
      </c>
      <c r="B385" s="8" t="s">
        <v>1464</v>
      </c>
      <c r="C385">
        <v>4</v>
      </c>
      <c r="D385" s="4" t="s">
        <v>1628</v>
      </c>
      <c r="E385" s="2">
        <f>VLOOKUP(D385,Semaine_ref_trim!$C$1:$E$372,2,FALSE)</f>
        <v>47777</v>
      </c>
      <c r="F385" s="2">
        <f>VLOOKUP(D385,Semaine_ref_trim!$C$1:$E$372,3,FALSE)</f>
        <v>47783</v>
      </c>
    </row>
    <row r="386" spans="1:6" x14ac:dyDescent="0.35">
      <c r="A386" t="s">
        <v>1482</v>
      </c>
      <c r="B386" s="8" t="s">
        <v>1464</v>
      </c>
      <c r="C386">
        <v>5</v>
      </c>
      <c r="D386" s="4" t="s">
        <v>1629</v>
      </c>
      <c r="E386" s="2">
        <f>VLOOKUP(D386,Semaine_ref_trim!$C$1:$E$372,2,FALSE)</f>
        <v>47784</v>
      </c>
      <c r="F386" s="2">
        <f>VLOOKUP(D386,Semaine_ref_trim!$C$1:$E$372,3,FALSE)</f>
        <v>47790</v>
      </c>
    </row>
    <row r="387" spans="1:6" x14ac:dyDescent="0.35">
      <c r="A387" t="s">
        <v>1482</v>
      </c>
      <c r="B387" s="8" t="s">
        <v>1464</v>
      </c>
      <c r="C387">
        <v>6</v>
      </c>
      <c r="D387" s="4" t="s">
        <v>1630</v>
      </c>
      <c r="E387" s="2">
        <f>VLOOKUP(D387,Semaine_ref_trim!$C$1:$E$372,2,FALSE)</f>
        <v>47791</v>
      </c>
      <c r="F387" s="2">
        <f>VLOOKUP(D387,Semaine_ref_trim!$C$1:$E$372,3,FALSE)</f>
        <v>47797</v>
      </c>
    </row>
    <row r="388" spans="1:6" x14ac:dyDescent="0.35">
      <c r="A388" t="s">
        <v>1482</v>
      </c>
      <c r="B388" s="8" t="s">
        <v>1464</v>
      </c>
      <c r="C388">
        <v>7</v>
      </c>
      <c r="D388" s="4" t="s">
        <v>1631</v>
      </c>
      <c r="E388" s="2">
        <f>VLOOKUP(D388,Semaine_ref_trim!$C$1:$E$372,2,FALSE)</f>
        <v>47798</v>
      </c>
      <c r="F388" s="2">
        <f>VLOOKUP(D388,Semaine_ref_trim!$C$1:$E$372,3,FALSE)</f>
        <v>47804</v>
      </c>
    </row>
    <row r="389" spans="1:6" x14ac:dyDescent="0.35">
      <c r="A389" t="s">
        <v>1482</v>
      </c>
      <c r="B389" s="8" t="s">
        <v>1464</v>
      </c>
      <c r="C389">
        <v>8</v>
      </c>
      <c r="D389" s="4" t="s">
        <v>1632</v>
      </c>
      <c r="E389" s="2">
        <f>VLOOKUP(D389,Semaine_ref_trim!$C$1:$E$372,2,FALSE)</f>
        <v>47805</v>
      </c>
      <c r="F389" s="2">
        <f>VLOOKUP(D389,Semaine_ref_trim!$C$1:$E$372,3,FALSE)</f>
        <v>47811</v>
      </c>
    </row>
    <row r="390" spans="1:6" x14ac:dyDescent="0.35">
      <c r="A390" t="s">
        <v>1482</v>
      </c>
      <c r="B390" s="8" t="s">
        <v>1464</v>
      </c>
      <c r="C390">
        <v>9</v>
      </c>
      <c r="D390" s="4" t="s">
        <v>1633</v>
      </c>
      <c r="E390" s="2">
        <f>VLOOKUP(D390,Semaine_ref_trim!$C$1:$E$372,2,FALSE)</f>
        <v>47812</v>
      </c>
      <c r="F390" s="2">
        <f>VLOOKUP(D390,Semaine_ref_trim!$C$1:$E$372,3,FALSE)</f>
        <v>47818</v>
      </c>
    </row>
    <row r="391" spans="1:6" x14ac:dyDescent="0.35">
      <c r="A391" t="s">
        <v>1482</v>
      </c>
      <c r="B391" s="8" t="s">
        <v>1464</v>
      </c>
      <c r="C391">
        <v>10</v>
      </c>
      <c r="D391" s="4" t="s">
        <v>1634</v>
      </c>
      <c r="E391" s="2">
        <f>VLOOKUP(D391,Semaine_ref_trim!$C$1:$E$372,2,FALSE)</f>
        <v>47819</v>
      </c>
      <c r="F391" s="2">
        <f>VLOOKUP(D391,Semaine_ref_trim!$C$1:$E$372,3,FALSE)</f>
        <v>47825</v>
      </c>
    </row>
    <row r="392" spans="1:6" x14ac:dyDescent="0.35">
      <c r="A392" t="s">
        <v>1482</v>
      </c>
      <c r="B392" s="8" t="s">
        <v>1464</v>
      </c>
      <c r="C392">
        <v>11</v>
      </c>
      <c r="D392" s="4" t="s">
        <v>1635</v>
      </c>
      <c r="E392" s="2">
        <f>VLOOKUP(D392,Semaine_ref_trim!$C$1:$E$372,2,FALSE)</f>
        <v>47826</v>
      </c>
      <c r="F392" s="2">
        <f>VLOOKUP(D392,Semaine_ref_trim!$C$1:$E$372,3,FALSE)</f>
        <v>47832</v>
      </c>
    </row>
    <row r="393" spans="1:6" x14ac:dyDescent="0.35">
      <c r="A393" t="s">
        <v>1482</v>
      </c>
      <c r="B393" s="8" t="s">
        <v>1464</v>
      </c>
      <c r="C393">
        <v>12</v>
      </c>
      <c r="D393" s="4" t="s">
        <v>1636</v>
      </c>
      <c r="E393" s="2">
        <f>VLOOKUP(D393,Semaine_ref_trim!$C$1:$E$372,2,FALSE)</f>
        <v>47833</v>
      </c>
      <c r="F393" s="2">
        <f>VLOOKUP(D393,Semaine_ref_trim!$C$1:$E$372,3,FALSE)</f>
        <v>47839</v>
      </c>
    </row>
    <row r="394" spans="1:6" x14ac:dyDescent="0.35">
      <c r="A394" t="s">
        <v>1482</v>
      </c>
      <c r="B394" s="8" t="s">
        <v>1464</v>
      </c>
      <c r="C394">
        <v>13</v>
      </c>
      <c r="D394" s="4" t="s">
        <v>1637</v>
      </c>
      <c r="E394" s="2">
        <f>VLOOKUP(D394,Semaine_ref_trim!$C$1:$E$372,2,FALSE)</f>
        <v>47840</v>
      </c>
      <c r="F394" s="2">
        <f>VLOOKUP(D394,Semaine_ref_trim!$C$1:$E$372,3,FALSE)</f>
        <v>47846</v>
      </c>
    </row>
    <row r="395" spans="1:6" x14ac:dyDescent="0.35">
      <c r="A395" t="s">
        <v>1482</v>
      </c>
      <c r="B395" s="8" t="s">
        <v>1466</v>
      </c>
      <c r="C395">
        <v>1</v>
      </c>
      <c r="D395" t="str">
        <f>D382</f>
        <v>Monday 30 September 2030</v>
      </c>
      <c r="E395" s="2">
        <f>VLOOKUP(D395,Semaine_ref_trim!$C$1:$E$372,2,FALSE)</f>
        <v>47756</v>
      </c>
      <c r="F395" s="2">
        <f>VLOOKUP(D395,Semaine_ref_trim!$C$1:$E$372,3,FALSE)</f>
        <v>47762</v>
      </c>
    </row>
    <row r="396" spans="1:6" x14ac:dyDescent="0.35">
      <c r="A396" t="s">
        <v>1482</v>
      </c>
      <c r="B396" s="8" t="s">
        <v>1466</v>
      </c>
      <c r="C396">
        <v>2</v>
      </c>
      <c r="D396" t="str">
        <f>D384</f>
        <v>Monday 14 October 2030</v>
      </c>
      <c r="E396" s="2">
        <f>VLOOKUP(D396,Semaine_ref_trim!$C$1:$E$372,2,FALSE)</f>
        <v>47770</v>
      </c>
      <c r="F396" s="2">
        <f>VLOOKUP(D396,Semaine_ref_trim!$C$1:$E$372,3,FALSE)</f>
        <v>47776</v>
      </c>
    </row>
    <row r="397" spans="1:6" x14ac:dyDescent="0.35">
      <c r="A397" t="s">
        <v>1482</v>
      </c>
      <c r="B397" s="8" t="s">
        <v>1466</v>
      </c>
      <c r="C397">
        <v>3</v>
      </c>
      <c r="D397" t="str">
        <f>D386</f>
        <v>Monday 28 October 2030</v>
      </c>
      <c r="E397" s="2">
        <f>VLOOKUP(D397,Semaine_ref_trim!$C$1:$E$372,2,FALSE)</f>
        <v>47784</v>
      </c>
      <c r="F397" s="2">
        <f>VLOOKUP(D397,Semaine_ref_trim!$C$1:$E$372,3,FALSE)</f>
        <v>47790</v>
      </c>
    </row>
    <row r="398" spans="1:6" x14ac:dyDescent="0.35">
      <c r="A398" t="s">
        <v>1482</v>
      </c>
      <c r="B398" s="8" t="s">
        <v>1466</v>
      </c>
      <c r="C398">
        <v>4</v>
      </c>
      <c r="D398" t="str">
        <f>D388</f>
        <v>Monday 11 November 2030</v>
      </c>
      <c r="E398" s="2">
        <f>VLOOKUP(D398,Semaine_ref_trim!$C$1:$E$372,2,FALSE)</f>
        <v>47798</v>
      </c>
      <c r="F398" s="2">
        <f>VLOOKUP(D398,Semaine_ref_trim!$C$1:$E$372,3,FALSE)</f>
        <v>47804</v>
      </c>
    </row>
    <row r="399" spans="1:6" x14ac:dyDescent="0.35">
      <c r="A399" t="s">
        <v>1482</v>
      </c>
      <c r="B399" s="8" t="s">
        <v>1466</v>
      </c>
      <c r="C399">
        <v>5</v>
      </c>
      <c r="D399" t="str">
        <f>D390</f>
        <v>Monday 25 November 2030</v>
      </c>
      <c r="E399" s="2">
        <f>VLOOKUP(D399,Semaine_ref_trim!$C$1:$E$372,2,FALSE)</f>
        <v>47812</v>
      </c>
      <c r="F399" s="2">
        <f>VLOOKUP(D399,Semaine_ref_trim!$C$1:$E$372,3,FALSE)</f>
        <v>47818</v>
      </c>
    </row>
    <row r="400" spans="1:6" x14ac:dyDescent="0.35">
      <c r="A400" t="s">
        <v>1482</v>
      </c>
      <c r="B400" s="8" t="s">
        <v>1466</v>
      </c>
      <c r="C400">
        <v>6</v>
      </c>
      <c r="D400" t="str">
        <f>D392</f>
        <v>Monday 9 December 2030</v>
      </c>
      <c r="E400" s="2">
        <f>VLOOKUP(D400,Semaine_ref_trim!$C$1:$E$372,2,FALSE)</f>
        <v>47826</v>
      </c>
      <c r="F400" s="2">
        <f>VLOOKUP(D400,Semaine_ref_trim!$C$1:$E$372,3,FALSE)</f>
        <v>47832</v>
      </c>
    </row>
    <row r="401" spans="1:6" x14ac:dyDescent="0.35">
      <c r="A401" t="s">
        <v>1482</v>
      </c>
      <c r="B401" s="8" t="s">
        <v>1466</v>
      </c>
      <c r="C401">
        <v>7</v>
      </c>
      <c r="D401" t="str">
        <f>D394</f>
        <v>Monday 23 December 2030</v>
      </c>
      <c r="E401" s="2">
        <f>VLOOKUP(D401,Semaine_ref_trim!$C$1:$E$372,2,FALSE)</f>
        <v>47840</v>
      </c>
      <c r="F401" s="2">
        <f>VLOOKUP(D401,Semaine_ref_trim!$C$1:$E$372,3,FALSE)</f>
        <v>47846</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5DABC-4C61-4E3D-9DBB-E64BBBAD3668}">
  <dimension ref="A1:B15"/>
  <sheetViews>
    <sheetView tabSelected="1" workbookViewId="0">
      <selection activeCell="C24" sqref="C24"/>
    </sheetView>
  </sheetViews>
  <sheetFormatPr baseColWidth="10" defaultRowHeight="14.5" x14ac:dyDescent="0.35"/>
  <cols>
    <col min="2" max="2" width="33.54296875" bestFit="1" customWidth="1"/>
    <col min="5" max="5" width="22.1796875" bestFit="1" customWidth="1"/>
  </cols>
  <sheetData>
    <row r="1" spans="1:2" x14ac:dyDescent="0.35">
      <c r="A1" t="s">
        <v>301</v>
      </c>
      <c r="B1" t="s">
        <v>302</v>
      </c>
    </row>
    <row r="2" spans="1:2" x14ac:dyDescent="0.35">
      <c r="A2" t="s">
        <v>287</v>
      </c>
      <c r="B2" t="s">
        <v>273</v>
      </c>
    </row>
    <row r="3" spans="1:2" x14ac:dyDescent="0.35">
      <c r="A3" t="s">
        <v>288</v>
      </c>
      <c r="B3" t="s">
        <v>274</v>
      </c>
    </row>
    <row r="4" spans="1:2" x14ac:dyDescent="0.35">
      <c r="A4" t="s">
        <v>289</v>
      </c>
      <c r="B4" t="s">
        <v>275</v>
      </c>
    </row>
    <row r="5" spans="1:2" x14ac:dyDescent="0.35">
      <c r="A5" t="s">
        <v>290</v>
      </c>
      <c r="B5" t="s">
        <v>276</v>
      </c>
    </row>
    <row r="6" spans="1:2" x14ac:dyDescent="0.35">
      <c r="A6" t="s">
        <v>291</v>
      </c>
      <c r="B6" t="s">
        <v>277</v>
      </c>
    </row>
    <row r="7" spans="1:2" x14ac:dyDescent="0.35">
      <c r="A7" t="s">
        <v>292</v>
      </c>
      <c r="B7" t="s">
        <v>278</v>
      </c>
    </row>
    <row r="8" spans="1:2" x14ac:dyDescent="0.35">
      <c r="A8" t="s">
        <v>293</v>
      </c>
      <c r="B8" t="s">
        <v>279</v>
      </c>
    </row>
    <row r="9" spans="1:2" x14ac:dyDescent="0.35">
      <c r="A9" t="s">
        <v>294</v>
      </c>
      <c r="B9" t="s">
        <v>280</v>
      </c>
    </row>
    <row r="10" spans="1:2" x14ac:dyDescent="0.35">
      <c r="A10" t="s">
        <v>295</v>
      </c>
      <c r="B10" t="s">
        <v>281</v>
      </c>
    </row>
    <row r="11" spans="1:2" x14ac:dyDescent="0.35">
      <c r="A11" t="s">
        <v>296</v>
      </c>
      <c r="B11" t="s">
        <v>282</v>
      </c>
    </row>
    <row r="12" spans="1:2" x14ac:dyDescent="0.35">
      <c r="A12" t="s">
        <v>297</v>
      </c>
      <c r="B12" t="s">
        <v>283</v>
      </c>
    </row>
    <row r="13" spans="1:2" x14ac:dyDescent="0.35">
      <c r="A13" t="s">
        <v>298</v>
      </c>
      <c r="B13" t="s">
        <v>284</v>
      </c>
    </row>
    <row r="14" spans="1:2" x14ac:dyDescent="0.35">
      <c r="A14" t="s">
        <v>299</v>
      </c>
      <c r="B14" t="s">
        <v>285</v>
      </c>
    </row>
    <row r="15" spans="1:2" x14ac:dyDescent="0.35">
      <c r="A15" t="s">
        <v>300</v>
      </c>
      <c r="B15" t="s">
        <v>286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E1EEC-B99E-49D9-9B6C-21E0D0112E18}">
  <dimension ref="A1:B34"/>
  <sheetViews>
    <sheetView workbookViewId="0">
      <selection activeCell="A12" sqref="A12"/>
    </sheetView>
  </sheetViews>
  <sheetFormatPr baseColWidth="10" defaultRowHeight="14.5" x14ac:dyDescent="0.35"/>
  <cols>
    <col min="1" max="1" width="5.81640625" bestFit="1" customWidth="1"/>
    <col min="2" max="2" width="16.7265625" bestFit="1" customWidth="1"/>
  </cols>
  <sheetData>
    <row r="1" spans="1:2" x14ac:dyDescent="0.35">
      <c r="A1" t="s">
        <v>270</v>
      </c>
      <c r="B1" t="s">
        <v>271</v>
      </c>
    </row>
    <row r="2" spans="1:2" x14ac:dyDescent="0.35">
      <c r="A2">
        <v>10101</v>
      </c>
      <c r="B2" t="s">
        <v>237</v>
      </c>
    </row>
    <row r="3" spans="1:2" x14ac:dyDescent="0.35">
      <c r="A3">
        <v>10916</v>
      </c>
      <c r="B3" t="s">
        <v>238</v>
      </c>
    </row>
    <row r="4" spans="1:2" x14ac:dyDescent="0.35">
      <c r="A4">
        <v>11319</v>
      </c>
      <c r="B4" t="s">
        <v>239</v>
      </c>
    </row>
    <row r="5" spans="1:2" x14ac:dyDescent="0.35">
      <c r="A5">
        <v>11120</v>
      </c>
      <c r="B5" t="s">
        <v>240</v>
      </c>
    </row>
    <row r="6" spans="1:2" x14ac:dyDescent="0.35">
      <c r="A6">
        <v>10821</v>
      </c>
      <c r="B6" t="s">
        <v>241</v>
      </c>
    </row>
    <row r="7" spans="1:2" x14ac:dyDescent="0.35">
      <c r="A7">
        <v>11322</v>
      </c>
      <c r="B7" t="s">
        <v>242</v>
      </c>
    </row>
    <row r="8" spans="1:2" x14ac:dyDescent="0.35">
      <c r="A8">
        <v>11423</v>
      </c>
      <c r="B8" t="s">
        <v>243</v>
      </c>
    </row>
    <row r="9" spans="1:2" x14ac:dyDescent="0.35">
      <c r="A9">
        <v>11018</v>
      </c>
      <c r="B9" t="s">
        <v>244</v>
      </c>
    </row>
    <row r="10" spans="1:2" x14ac:dyDescent="0.35">
      <c r="A10">
        <v>10524</v>
      </c>
      <c r="B10" t="s">
        <v>245</v>
      </c>
    </row>
    <row r="11" spans="1:2" x14ac:dyDescent="0.35">
      <c r="A11">
        <v>11204</v>
      </c>
      <c r="B11" t="s">
        <v>246</v>
      </c>
    </row>
    <row r="12" spans="1:2" x14ac:dyDescent="0.35">
      <c r="A12">
        <v>10325</v>
      </c>
      <c r="B12" t="s">
        <v>247</v>
      </c>
    </row>
    <row r="13" spans="1:2" x14ac:dyDescent="0.35">
      <c r="A13">
        <v>10617</v>
      </c>
      <c r="B13" t="s">
        <v>248</v>
      </c>
    </row>
    <row r="14" spans="1:2" x14ac:dyDescent="0.35">
      <c r="A14">
        <v>11408</v>
      </c>
      <c r="B14" t="s">
        <v>249</v>
      </c>
    </row>
    <row r="15" spans="1:2" x14ac:dyDescent="0.35">
      <c r="A15">
        <v>10926</v>
      </c>
      <c r="B15" t="s">
        <v>250</v>
      </c>
    </row>
    <row r="16" spans="1:2" x14ac:dyDescent="0.35">
      <c r="A16">
        <v>11027</v>
      </c>
      <c r="B16" t="s">
        <v>251</v>
      </c>
    </row>
    <row r="17" spans="1:2" x14ac:dyDescent="0.35">
      <c r="A17">
        <v>11228</v>
      </c>
      <c r="B17" t="s">
        <v>252</v>
      </c>
    </row>
    <row r="18" spans="1:2" x14ac:dyDescent="0.35">
      <c r="A18">
        <v>10702</v>
      </c>
      <c r="B18" t="s">
        <v>253</v>
      </c>
    </row>
    <row r="19" spans="1:2" x14ac:dyDescent="0.35">
      <c r="A19">
        <v>10829</v>
      </c>
      <c r="B19" t="s">
        <v>254</v>
      </c>
    </row>
    <row r="20" spans="1:2" x14ac:dyDescent="0.35">
      <c r="A20">
        <v>10405</v>
      </c>
      <c r="B20" t="s">
        <v>255</v>
      </c>
    </row>
    <row r="21" spans="1:2" x14ac:dyDescent="0.35">
      <c r="A21">
        <v>10510</v>
      </c>
      <c r="B21" t="s">
        <v>256</v>
      </c>
    </row>
    <row r="22" spans="1:2" x14ac:dyDescent="0.35">
      <c r="A22">
        <v>10930</v>
      </c>
      <c r="B22" t="s">
        <v>257</v>
      </c>
    </row>
    <row r="23" spans="1:2" x14ac:dyDescent="0.35">
      <c r="A23">
        <v>10615</v>
      </c>
      <c r="B23" t="s">
        <v>258</v>
      </c>
    </row>
    <row r="24" spans="1:2" x14ac:dyDescent="0.35">
      <c r="A24">
        <v>10712</v>
      </c>
      <c r="B24" t="s">
        <v>259</v>
      </c>
    </row>
    <row r="25" spans="1:2" x14ac:dyDescent="0.35">
      <c r="A25">
        <v>10833</v>
      </c>
      <c r="B25" t="s">
        <v>260</v>
      </c>
    </row>
    <row r="26" spans="1:2" x14ac:dyDescent="0.35">
      <c r="A26">
        <v>10331</v>
      </c>
      <c r="B26" t="s">
        <v>261</v>
      </c>
    </row>
    <row r="27" spans="1:2" x14ac:dyDescent="0.35">
      <c r="A27">
        <v>10811</v>
      </c>
      <c r="B27" t="s">
        <v>262</v>
      </c>
    </row>
    <row r="28" spans="1:2" x14ac:dyDescent="0.35">
      <c r="A28">
        <v>11103</v>
      </c>
      <c r="B28" t="s">
        <v>263</v>
      </c>
    </row>
    <row r="29" spans="1:2" x14ac:dyDescent="0.35">
      <c r="A29">
        <v>10309</v>
      </c>
      <c r="B29" t="s">
        <v>264</v>
      </c>
    </row>
    <row r="30" spans="1:2" x14ac:dyDescent="0.35">
      <c r="A30">
        <v>10413</v>
      </c>
      <c r="B30" t="s">
        <v>265</v>
      </c>
    </row>
    <row r="31" spans="1:2" x14ac:dyDescent="0.35">
      <c r="A31">
        <v>11132</v>
      </c>
      <c r="B31" t="s">
        <v>266</v>
      </c>
    </row>
    <row r="32" spans="1:2" x14ac:dyDescent="0.35">
      <c r="A32">
        <v>11006</v>
      </c>
      <c r="B32" t="s">
        <v>267</v>
      </c>
    </row>
    <row r="33" spans="1:2" x14ac:dyDescent="0.35">
      <c r="A33">
        <v>11314</v>
      </c>
      <c r="B33" t="s">
        <v>268</v>
      </c>
    </row>
    <row r="34" spans="1:2" x14ac:dyDescent="0.35">
      <c r="A34">
        <v>10207</v>
      </c>
      <c r="B34" t="s">
        <v>269</v>
      </c>
    </row>
  </sheetData>
  <conditionalFormatting sqref="A1:A1048576">
    <cfRule type="duplicateValues" dxfId="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ECCB7-AAD9-4B16-AE21-91169A744DBC}">
  <dimension ref="A1:C114"/>
  <sheetViews>
    <sheetView workbookViewId="0"/>
  </sheetViews>
  <sheetFormatPr baseColWidth="10" defaultRowHeight="14.5" x14ac:dyDescent="0.35"/>
  <cols>
    <col min="2" max="2" width="29.90625" bestFit="1" customWidth="1"/>
    <col min="4" max="4" width="21" bestFit="1" customWidth="1"/>
  </cols>
  <sheetData>
    <row r="1" spans="1:2" x14ac:dyDescent="0.35">
      <c r="A1" t="s">
        <v>526</v>
      </c>
      <c r="B1" t="s">
        <v>527</v>
      </c>
    </row>
    <row r="2" spans="1:2" x14ac:dyDescent="0.35">
      <c r="A2" t="s">
        <v>304</v>
      </c>
      <c r="B2" t="s">
        <v>305</v>
      </c>
    </row>
    <row r="3" spans="1:2" x14ac:dyDescent="0.35">
      <c r="A3" t="s">
        <v>306</v>
      </c>
      <c r="B3" t="s">
        <v>307</v>
      </c>
    </row>
    <row r="4" spans="1:2" x14ac:dyDescent="0.35">
      <c r="A4" t="s">
        <v>308</v>
      </c>
      <c r="B4" t="s">
        <v>309</v>
      </c>
    </row>
    <row r="5" spans="1:2" x14ac:dyDescent="0.35">
      <c r="A5" t="s">
        <v>310</v>
      </c>
      <c r="B5" t="s">
        <v>311</v>
      </c>
    </row>
    <row r="6" spans="1:2" x14ac:dyDescent="0.35">
      <c r="A6" t="s">
        <v>312</v>
      </c>
      <c r="B6" t="s">
        <v>313</v>
      </c>
    </row>
    <row r="7" spans="1:2" x14ac:dyDescent="0.35">
      <c r="A7" t="s">
        <v>314</v>
      </c>
      <c r="B7" t="s">
        <v>315</v>
      </c>
    </row>
    <row r="8" spans="1:2" x14ac:dyDescent="0.35">
      <c r="A8" t="s">
        <v>316</v>
      </c>
      <c r="B8" t="s">
        <v>317</v>
      </c>
    </row>
    <row r="9" spans="1:2" x14ac:dyDescent="0.35">
      <c r="A9" t="s">
        <v>318</v>
      </c>
      <c r="B9" t="s">
        <v>319</v>
      </c>
    </row>
    <row r="10" spans="1:2" x14ac:dyDescent="0.35">
      <c r="A10" t="s">
        <v>320</v>
      </c>
      <c r="B10" t="s">
        <v>321</v>
      </c>
    </row>
    <row r="11" spans="1:2" x14ac:dyDescent="0.35">
      <c r="A11" t="s">
        <v>322</v>
      </c>
      <c r="B11" t="s">
        <v>323</v>
      </c>
    </row>
    <row r="12" spans="1:2" x14ac:dyDescent="0.35">
      <c r="A12" t="s">
        <v>324</v>
      </c>
      <c r="B12" t="s">
        <v>325</v>
      </c>
    </row>
    <row r="13" spans="1:2" x14ac:dyDescent="0.35">
      <c r="A13" t="s">
        <v>326</v>
      </c>
      <c r="B13" t="s">
        <v>327</v>
      </c>
    </row>
    <row r="14" spans="1:2" x14ac:dyDescent="0.35">
      <c r="A14" t="s">
        <v>328</v>
      </c>
      <c r="B14" t="s">
        <v>329</v>
      </c>
    </row>
    <row r="15" spans="1:2" x14ac:dyDescent="0.35">
      <c r="A15" t="s">
        <v>330</v>
      </c>
      <c r="B15" t="s">
        <v>331</v>
      </c>
    </row>
    <row r="16" spans="1:2" x14ac:dyDescent="0.35">
      <c r="A16" t="s">
        <v>332</v>
      </c>
      <c r="B16" t="s">
        <v>333</v>
      </c>
    </row>
    <row r="17" spans="1:2" x14ac:dyDescent="0.35">
      <c r="A17" t="s">
        <v>334</v>
      </c>
      <c r="B17" t="s">
        <v>335</v>
      </c>
    </row>
    <row r="18" spans="1:2" x14ac:dyDescent="0.35">
      <c r="A18" t="s">
        <v>336</v>
      </c>
      <c r="B18" t="s">
        <v>337</v>
      </c>
    </row>
    <row r="19" spans="1:2" x14ac:dyDescent="0.35">
      <c r="A19" t="s">
        <v>338</v>
      </c>
      <c r="B19" t="s">
        <v>339</v>
      </c>
    </row>
    <row r="20" spans="1:2" x14ac:dyDescent="0.35">
      <c r="A20" t="s">
        <v>340</v>
      </c>
      <c r="B20" t="s">
        <v>341</v>
      </c>
    </row>
    <row r="21" spans="1:2" x14ac:dyDescent="0.35">
      <c r="A21" t="s">
        <v>342</v>
      </c>
      <c r="B21" t="s">
        <v>343</v>
      </c>
    </row>
    <row r="22" spans="1:2" x14ac:dyDescent="0.35">
      <c r="A22" t="s">
        <v>344</v>
      </c>
      <c r="B22" t="s">
        <v>345</v>
      </c>
    </row>
    <row r="23" spans="1:2" x14ac:dyDescent="0.35">
      <c r="A23" t="s">
        <v>346</v>
      </c>
      <c r="B23" t="s">
        <v>347</v>
      </c>
    </row>
    <row r="24" spans="1:2" x14ac:dyDescent="0.35">
      <c r="A24" t="s">
        <v>348</v>
      </c>
      <c r="B24" t="s">
        <v>349</v>
      </c>
    </row>
    <row r="25" spans="1:2" x14ac:dyDescent="0.35">
      <c r="A25" t="s">
        <v>350</v>
      </c>
      <c r="B25" t="s">
        <v>351</v>
      </c>
    </row>
    <row r="26" spans="1:2" x14ac:dyDescent="0.35">
      <c r="A26" t="s">
        <v>352</v>
      </c>
      <c r="B26" t="s">
        <v>353</v>
      </c>
    </row>
    <row r="27" spans="1:2" x14ac:dyDescent="0.35">
      <c r="A27" t="s">
        <v>354</v>
      </c>
      <c r="B27" t="s">
        <v>355</v>
      </c>
    </row>
    <row r="28" spans="1:2" x14ac:dyDescent="0.35">
      <c r="A28" t="s">
        <v>356</v>
      </c>
      <c r="B28" t="s">
        <v>357</v>
      </c>
    </row>
    <row r="29" spans="1:2" x14ac:dyDescent="0.35">
      <c r="A29" t="s">
        <v>358</v>
      </c>
      <c r="B29" t="s">
        <v>359</v>
      </c>
    </row>
    <row r="30" spans="1:2" x14ac:dyDescent="0.35">
      <c r="A30" t="s">
        <v>360</v>
      </c>
      <c r="B30" t="s">
        <v>361</v>
      </c>
    </row>
    <row r="31" spans="1:2" x14ac:dyDescent="0.35">
      <c r="A31" t="s">
        <v>362</v>
      </c>
      <c r="B31" t="s">
        <v>363</v>
      </c>
    </row>
    <row r="32" spans="1:2" x14ac:dyDescent="0.35">
      <c r="A32" t="s">
        <v>364</v>
      </c>
      <c r="B32" t="s">
        <v>365</v>
      </c>
    </row>
    <row r="33" spans="1:2" x14ac:dyDescent="0.35">
      <c r="A33" t="s">
        <v>366</v>
      </c>
      <c r="B33" t="s">
        <v>367</v>
      </c>
    </row>
    <row r="34" spans="1:2" x14ac:dyDescent="0.35">
      <c r="A34" t="s">
        <v>368</v>
      </c>
      <c r="B34" t="s">
        <v>369</v>
      </c>
    </row>
    <row r="35" spans="1:2" x14ac:dyDescent="0.35">
      <c r="A35" t="s">
        <v>370</v>
      </c>
      <c r="B35" t="s">
        <v>371</v>
      </c>
    </row>
    <row r="36" spans="1:2" x14ac:dyDescent="0.35">
      <c r="A36" t="s">
        <v>372</v>
      </c>
      <c r="B36" t="s">
        <v>373</v>
      </c>
    </row>
    <row r="37" spans="1:2" x14ac:dyDescent="0.35">
      <c r="A37" t="s">
        <v>374</v>
      </c>
      <c r="B37" t="s">
        <v>375</v>
      </c>
    </row>
    <row r="38" spans="1:2" x14ac:dyDescent="0.35">
      <c r="A38" t="s">
        <v>376</v>
      </c>
      <c r="B38" t="s">
        <v>377</v>
      </c>
    </row>
    <row r="39" spans="1:2" x14ac:dyDescent="0.35">
      <c r="A39" t="s">
        <v>378</v>
      </c>
      <c r="B39" t="s">
        <v>379</v>
      </c>
    </row>
    <row r="40" spans="1:2" x14ac:dyDescent="0.35">
      <c r="A40" t="s">
        <v>380</v>
      </c>
      <c r="B40" t="s">
        <v>381</v>
      </c>
    </row>
    <row r="41" spans="1:2" x14ac:dyDescent="0.35">
      <c r="A41" t="s">
        <v>382</v>
      </c>
      <c r="B41" t="s">
        <v>383</v>
      </c>
    </row>
    <row r="42" spans="1:2" x14ac:dyDescent="0.35">
      <c r="A42" t="s">
        <v>384</v>
      </c>
      <c r="B42" t="s">
        <v>385</v>
      </c>
    </row>
    <row r="43" spans="1:2" x14ac:dyDescent="0.35">
      <c r="A43" t="s">
        <v>386</v>
      </c>
      <c r="B43" t="s">
        <v>387</v>
      </c>
    </row>
    <row r="44" spans="1:2" x14ac:dyDescent="0.35">
      <c r="A44" t="s">
        <v>388</v>
      </c>
      <c r="B44" t="s">
        <v>389</v>
      </c>
    </row>
    <row r="45" spans="1:2" x14ac:dyDescent="0.35">
      <c r="A45" t="s">
        <v>390</v>
      </c>
      <c r="B45" t="s">
        <v>391</v>
      </c>
    </row>
    <row r="46" spans="1:2" x14ac:dyDescent="0.35">
      <c r="A46" t="s">
        <v>392</v>
      </c>
      <c r="B46" t="s">
        <v>393</v>
      </c>
    </row>
    <row r="47" spans="1:2" x14ac:dyDescent="0.35">
      <c r="A47" t="s">
        <v>394</v>
      </c>
      <c r="B47" t="s">
        <v>395</v>
      </c>
    </row>
    <row r="48" spans="1:2" x14ac:dyDescent="0.35">
      <c r="A48" t="s">
        <v>396</v>
      </c>
      <c r="B48" t="s">
        <v>397</v>
      </c>
    </row>
    <row r="49" spans="1:2" x14ac:dyDescent="0.35">
      <c r="A49" t="s">
        <v>398</v>
      </c>
      <c r="B49" t="s">
        <v>399</v>
      </c>
    </row>
    <row r="50" spans="1:2" x14ac:dyDescent="0.35">
      <c r="A50" t="s">
        <v>400</v>
      </c>
      <c r="B50" t="s">
        <v>401</v>
      </c>
    </row>
    <row r="51" spans="1:2" x14ac:dyDescent="0.35">
      <c r="A51" t="s">
        <v>402</v>
      </c>
      <c r="B51" t="s">
        <v>403</v>
      </c>
    </row>
    <row r="52" spans="1:2" x14ac:dyDescent="0.35">
      <c r="A52" t="s">
        <v>404</v>
      </c>
      <c r="B52" t="s">
        <v>405</v>
      </c>
    </row>
    <row r="53" spans="1:2" x14ac:dyDescent="0.35">
      <c r="A53" t="s">
        <v>406</v>
      </c>
      <c r="B53" t="s">
        <v>407</v>
      </c>
    </row>
    <row r="54" spans="1:2" x14ac:dyDescent="0.35">
      <c r="A54" t="s">
        <v>408</v>
      </c>
      <c r="B54" t="s">
        <v>409</v>
      </c>
    </row>
    <row r="55" spans="1:2" x14ac:dyDescent="0.35">
      <c r="A55" t="s">
        <v>410</v>
      </c>
      <c r="B55" t="s">
        <v>411</v>
      </c>
    </row>
    <row r="56" spans="1:2" x14ac:dyDescent="0.35">
      <c r="A56" t="s">
        <v>412</v>
      </c>
      <c r="B56" t="s">
        <v>413</v>
      </c>
    </row>
    <row r="57" spans="1:2" x14ac:dyDescent="0.35">
      <c r="A57" t="s">
        <v>414</v>
      </c>
      <c r="B57" t="s">
        <v>415</v>
      </c>
    </row>
    <row r="58" spans="1:2" x14ac:dyDescent="0.35">
      <c r="A58" t="s">
        <v>416</v>
      </c>
      <c r="B58" t="s">
        <v>417</v>
      </c>
    </row>
    <row r="59" spans="1:2" x14ac:dyDescent="0.35">
      <c r="A59" t="s">
        <v>418</v>
      </c>
      <c r="B59" t="s">
        <v>419</v>
      </c>
    </row>
    <row r="60" spans="1:2" x14ac:dyDescent="0.35">
      <c r="A60" t="s">
        <v>420</v>
      </c>
      <c r="B60" t="s">
        <v>421</v>
      </c>
    </row>
    <row r="61" spans="1:2" x14ac:dyDescent="0.35">
      <c r="A61" t="s">
        <v>422</v>
      </c>
      <c r="B61" t="s">
        <v>423</v>
      </c>
    </row>
    <row r="62" spans="1:2" x14ac:dyDescent="0.35">
      <c r="A62" t="s">
        <v>424</v>
      </c>
      <c r="B62" t="s">
        <v>425</v>
      </c>
    </row>
    <row r="63" spans="1:2" x14ac:dyDescent="0.35">
      <c r="A63" t="s">
        <v>426</v>
      </c>
      <c r="B63" t="s">
        <v>427</v>
      </c>
    </row>
    <row r="64" spans="1:2" x14ac:dyDescent="0.35">
      <c r="A64" t="s">
        <v>428</v>
      </c>
      <c r="B64" t="s">
        <v>429</v>
      </c>
    </row>
    <row r="65" spans="1:2" x14ac:dyDescent="0.35">
      <c r="A65" t="s">
        <v>430</v>
      </c>
      <c r="B65" t="s">
        <v>431</v>
      </c>
    </row>
    <row r="66" spans="1:2" x14ac:dyDescent="0.35">
      <c r="A66" t="s">
        <v>432</v>
      </c>
      <c r="B66" t="s">
        <v>433</v>
      </c>
    </row>
    <row r="67" spans="1:2" x14ac:dyDescent="0.35">
      <c r="A67" t="s">
        <v>434</v>
      </c>
      <c r="B67" t="s">
        <v>435</v>
      </c>
    </row>
    <row r="68" spans="1:2" x14ac:dyDescent="0.35">
      <c r="A68" t="s">
        <v>436</v>
      </c>
      <c r="B68" t="s">
        <v>437</v>
      </c>
    </row>
    <row r="69" spans="1:2" x14ac:dyDescent="0.35">
      <c r="A69" t="s">
        <v>438</v>
      </c>
      <c r="B69" t="s">
        <v>439</v>
      </c>
    </row>
    <row r="70" spans="1:2" x14ac:dyDescent="0.35">
      <c r="A70" t="s">
        <v>440</v>
      </c>
      <c r="B70" t="s">
        <v>441</v>
      </c>
    </row>
    <row r="71" spans="1:2" x14ac:dyDescent="0.35">
      <c r="A71" t="s">
        <v>442</v>
      </c>
      <c r="B71" t="s">
        <v>443</v>
      </c>
    </row>
    <row r="72" spans="1:2" x14ac:dyDescent="0.35">
      <c r="A72" t="s">
        <v>444</v>
      </c>
      <c r="B72" t="s">
        <v>445</v>
      </c>
    </row>
    <row r="73" spans="1:2" x14ac:dyDescent="0.35">
      <c r="A73" t="s">
        <v>446</v>
      </c>
      <c r="B73" t="s">
        <v>447</v>
      </c>
    </row>
    <row r="74" spans="1:2" x14ac:dyDescent="0.35">
      <c r="A74" t="s">
        <v>448</v>
      </c>
      <c r="B74" t="s">
        <v>449</v>
      </c>
    </row>
    <row r="75" spans="1:2" x14ac:dyDescent="0.35">
      <c r="A75" t="s">
        <v>450</v>
      </c>
      <c r="B75" t="s">
        <v>451</v>
      </c>
    </row>
    <row r="76" spans="1:2" x14ac:dyDescent="0.35">
      <c r="A76" t="s">
        <v>452</v>
      </c>
      <c r="B76" t="s">
        <v>453</v>
      </c>
    </row>
    <row r="77" spans="1:2" x14ac:dyDescent="0.35">
      <c r="A77" t="s">
        <v>454</v>
      </c>
      <c r="B77" t="s">
        <v>455</v>
      </c>
    </row>
    <row r="78" spans="1:2" x14ac:dyDescent="0.35">
      <c r="A78" t="s">
        <v>456</v>
      </c>
      <c r="B78" t="s">
        <v>457</v>
      </c>
    </row>
    <row r="79" spans="1:2" x14ac:dyDescent="0.35">
      <c r="A79" t="s">
        <v>458</v>
      </c>
      <c r="B79" t="s">
        <v>459</v>
      </c>
    </row>
    <row r="80" spans="1:2" x14ac:dyDescent="0.35">
      <c r="A80" t="s">
        <v>460</v>
      </c>
      <c r="B80" t="s">
        <v>461</v>
      </c>
    </row>
    <row r="81" spans="1:2" x14ac:dyDescent="0.35">
      <c r="A81" t="s">
        <v>462</v>
      </c>
      <c r="B81" t="s">
        <v>463</v>
      </c>
    </row>
    <row r="82" spans="1:2" x14ac:dyDescent="0.35">
      <c r="A82" t="s">
        <v>464</v>
      </c>
      <c r="B82" t="s">
        <v>465</v>
      </c>
    </row>
    <row r="83" spans="1:2" x14ac:dyDescent="0.35">
      <c r="A83" t="s">
        <v>466</v>
      </c>
      <c r="B83" t="s">
        <v>467</v>
      </c>
    </row>
    <row r="84" spans="1:2" x14ac:dyDescent="0.35">
      <c r="A84" t="s">
        <v>468</v>
      </c>
      <c r="B84" t="s">
        <v>469</v>
      </c>
    </row>
    <row r="85" spans="1:2" x14ac:dyDescent="0.35">
      <c r="A85" t="s">
        <v>470</v>
      </c>
      <c r="B85" t="s">
        <v>471</v>
      </c>
    </row>
    <row r="86" spans="1:2" x14ac:dyDescent="0.35">
      <c r="A86" t="s">
        <v>472</v>
      </c>
      <c r="B86" t="s">
        <v>473</v>
      </c>
    </row>
    <row r="87" spans="1:2" x14ac:dyDescent="0.35">
      <c r="A87" t="s">
        <v>474</v>
      </c>
      <c r="B87" t="s">
        <v>475</v>
      </c>
    </row>
    <row r="88" spans="1:2" x14ac:dyDescent="0.35">
      <c r="A88" t="s">
        <v>476</v>
      </c>
      <c r="B88" t="s">
        <v>477</v>
      </c>
    </row>
    <row r="89" spans="1:2" x14ac:dyDescent="0.35">
      <c r="A89" t="s">
        <v>478</v>
      </c>
      <c r="B89" t="s">
        <v>479</v>
      </c>
    </row>
    <row r="90" spans="1:2" x14ac:dyDescent="0.35">
      <c r="A90" t="s">
        <v>480</v>
      </c>
      <c r="B90" t="s">
        <v>481</v>
      </c>
    </row>
    <row r="91" spans="1:2" x14ac:dyDescent="0.35">
      <c r="A91" t="s">
        <v>482</v>
      </c>
      <c r="B91" t="s">
        <v>483</v>
      </c>
    </row>
    <row r="92" spans="1:2" x14ac:dyDescent="0.35">
      <c r="A92" t="s">
        <v>484</v>
      </c>
      <c r="B92" t="s">
        <v>485</v>
      </c>
    </row>
    <row r="93" spans="1:2" x14ac:dyDescent="0.35">
      <c r="A93" t="s">
        <v>486</v>
      </c>
      <c r="B93" t="s">
        <v>487</v>
      </c>
    </row>
    <row r="94" spans="1:2" x14ac:dyDescent="0.35">
      <c r="A94" t="s">
        <v>488</v>
      </c>
      <c r="B94" t="s">
        <v>489</v>
      </c>
    </row>
    <row r="95" spans="1:2" x14ac:dyDescent="0.35">
      <c r="A95" t="s">
        <v>490</v>
      </c>
      <c r="B95" t="s">
        <v>491</v>
      </c>
    </row>
    <row r="96" spans="1:2" x14ac:dyDescent="0.35">
      <c r="A96" t="s">
        <v>492</v>
      </c>
      <c r="B96" t="s">
        <v>493</v>
      </c>
    </row>
    <row r="97" spans="1:2" x14ac:dyDescent="0.35">
      <c r="A97" t="s">
        <v>494</v>
      </c>
      <c r="B97" t="s">
        <v>495</v>
      </c>
    </row>
    <row r="98" spans="1:2" x14ac:dyDescent="0.35">
      <c r="A98" t="s">
        <v>496</v>
      </c>
      <c r="B98" t="s">
        <v>497</v>
      </c>
    </row>
    <row r="99" spans="1:2" x14ac:dyDescent="0.35">
      <c r="A99" t="s">
        <v>498</v>
      </c>
      <c r="B99" t="s">
        <v>499</v>
      </c>
    </row>
    <row r="100" spans="1:2" x14ac:dyDescent="0.35">
      <c r="A100" t="s">
        <v>500</v>
      </c>
      <c r="B100" t="s">
        <v>501</v>
      </c>
    </row>
    <row r="101" spans="1:2" x14ac:dyDescent="0.35">
      <c r="A101" t="s">
        <v>502</v>
      </c>
      <c r="B101" t="s">
        <v>503</v>
      </c>
    </row>
    <row r="102" spans="1:2" x14ac:dyDescent="0.35">
      <c r="A102" t="s">
        <v>504</v>
      </c>
      <c r="B102" t="s">
        <v>505</v>
      </c>
    </row>
    <row r="103" spans="1:2" x14ac:dyDescent="0.35">
      <c r="A103" t="s">
        <v>506</v>
      </c>
      <c r="B103" t="s">
        <v>507</v>
      </c>
    </row>
    <row r="104" spans="1:2" x14ac:dyDescent="0.35">
      <c r="A104" t="s">
        <v>508</v>
      </c>
      <c r="B104" t="s">
        <v>509</v>
      </c>
    </row>
    <row r="105" spans="1:2" x14ac:dyDescent="0.35">
      <c r="A105" t="s">
        <v>510</v>
      </c>
      <c r="B105" t="s">
        <v>511</v>
      </c>
    </row>
    <row r="106" spans="1:2" x14ac:dyDescent="0.35">
      <c r="A106" t="s">
        <v>512</v>
      </c>
      <c r="B106" t="s">
        <v>513</v>
      </c>
    </row>
    <row r="107" spans="1:2" x14ac:dyDescent="0.35">
      <c r="A107" t="s">
        <v>514</v>
      </c>
      <c r="B107" t="s">
        <v>515</v>
      </c>
    </row>
    <row r="108" spans="1:2" x14ac:dyDescent="0.35">
      <c r="A108" t="s">
        <v>516</v>
      </c>
      <c r="B108" t="s">
        <v>517</v>
      </c>
    </row>
    <row r="109" spans="1:2" x14ac:dyDescent="0.35">
      <c r="A109" t="s">
        <v>518</v>
      </c>
      <c r="B109" t="s">
        <v>519</v>
      </c>
    </row>
    <row r="110" spans="1:2" x14ac:dyDescent="0.35">
      <c r="A110" t="s">
        <v>520</v>
      </c>
      <c r="B110" t="s">
        <v>521</v>
      </c>
    </row>
    <row r="111" spans="1:2" x14ac:dyDescent="0.35">
      <c r="A111" t="s">
        <v>522</v>
      </c>
      <c r="B111" t="s">
        <v>523</v>
      </c>
    </row>
    <row r="112" spans="1:2" x14ac:dyDescent="0.35">
      <c r="A112" t="s">
        <v>524</v>
      </c>
      <c r="B112" t="s">
        <v>525</v>
      </c>
    </row>
    <row r="114" spans="3:3" x14ac:dyDescent="0.35">
      <c r="C114" t="s">
        <v>303</v>
      </c>
    </row>
  </sheetData>
  <conditionalFormatting sqref="A1:A1048576">
    <cfRule type="duplicateValues" dxfId="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F34E4-ABCC-404C-8790-48F4EA3057D0}">
  <dimension ref="A1:B522"/>
  <sheetViews>
    <sheetView workbookViewId="0">
      <selection activeCell="B16" sqref="B16"/>
    </sheetView>
  </sheetViews>
  <sheetFormatPr baseColWidth="10" defaultRowHeight="14.5" x14ac:dyDescent="0.35"/>
  <cols>
    <col min="2" max="2" width="42.81640625" bestFit="1" customWidth="1"/>
    <col min="4" max="4" width="32.6328125" bestFit="1" customWidth="1"/>
  </cols>
  <sheetData>
    <row r="1" spans="1:2" x14ac:dyDescent="0.35">
      <c r="A1" t="s">
        <v>1457</v>
      </c>
      <c r="B1" t="s">
        <v>1458</v>
      </c>
    </row>
    <row r="2" spans="1:2" x14ac:dyDescent="0.35">
      <c r="A2" t="s">
        <v>528</v>
      </c>
      <c r="B2" t="s">
        <v>529</v>
      </c>
    </row>
    <row r="3" spans="1:2" x14ac:dyDescent="0.35">
      <c r="A3" t="s">
        <v>530</v>
      </c>
      <c r="B3" t="s">
        <v>531</v>
      </c>
    </row>
    <row r="4" spans="1:2" x14ac:dyDescent="0.35">
      <c r="A4" t="s">
        <v>532</v>
      </c>
      <c r="B4" t="s">
        <v>533</v>
      </c>
    </row>
    <row r="5" spans="1:2" x14ac:dyDescent="0.35">
      <c r="A5" t="s">
        <v>534</v>
      </c>
      <c r="B5" t="s">
        <v>535</v>
      </c>
    </row>
    <row r="6" spans="1:2" x14ac:dyDescent="0.35">
      <c r="A6" t="s">
        <v>536</v>
      </c>
      <c r="B6" t="s">
        <v>537</v>
      </c>
    </row>
    <row r="7" spans="1:2" x14ac:dyDescent="0.35">
      <c r="A7" t="s">
        <v>538</v>
      </c>
      <c r="B7" t="s">
        <v>539</v>
      </c>
    </row>
    <row r="8" spans="1:2" x14ac:dyDescent="0.35">
      <c r="A8" t="s">
        <v>540</v>
      </c>
      <c r="B8" t="s">
        <v>541</v>
      </c>
    </row>
    <row r="9" spans="1:2" x14ac:dyDescent="0.35">
      <c r="A9" t="s">
        <v>542</v>
      </c>
      <c r="B9" t="s">
        <v>543</v>
      </c>
    </row>
    <row r="10" spans="1:2" x14ac:dyDescent="0.35">
      <c r="A10" t="s">
        <v>544</v>
      </c>
      <c r="B10" t="s">
        <v>545</v>
      </c>
    </row>
    <row r="11" spans="1:2" x14ac:dyDescent="0.35">
      <c r="A11" t="s">
        <v>546</v>
      </c>
      <c r="B11" t="s">
        <v>547</v>
      </c>
    </row>
    <row r="12" spans="1:2" x14ac:dyDescent="0.35">
      <c r="A12" t="s">
        <v>548</v>
      </c>
      <c r="B12" t="s">
        <v>549</v>
      </c>
    </row>
    <row r="13" spans="1:2" x14ac:dyDescent="0.35">
      <c r="A13" t="s">
        <v>550</v>
      </c>
      <c r="B13" t="s">
        <v>551</v>
      </c>
    </row>
    <row r="14" spans="1:2" x14ac:dyDescent="0.35">
      <c r="A14" t="s">
        <v>552</v>
      </c>
      <c r="B14" t="s">
        <v>553</v>
      </c>
    </row>
    <row r="15" spans="1:2" x14ac:dyDescent="0.35">
      <c r="A15" t="s">
        <v>554</v>
      </c>
      <c r="B15" t="s">
        <v>555</v>
      </c>
    </row>
    <row r="16" spans="1:2" x14ac:dyDescent="0.35">
      <c r="A16" t="s">
        <v>556</v>
      </c>
      <c r="B16" t="s">
        <v>557</v>
      </c>
    </row>
    <row r="17" spans="1:2" x14ac:dyDescent="0.35">
      <c r="A17" t="s">
        <v>558</v>
      </c>
      <c r="B17" t="s">
        <v>307</v>
      </c>
    </row>
    <row r="18" spans="1:2" x14ac:dyDescent="0.35">
      <c r="A18" t="s">
        <v>559</v>
      </c>
      <c r="B18" t="s">
        <v>309</v>
      </c>
    </row>
    <row r="19" spans="1:2" x14ac:dyDescent="0.35">
      <c r="A19" t="s">
        <v>560</v>
      </c>
      <c r="B19" t="s">
        <v>561</v>
      </c>
    </row>
    <row r="20" spans="1:2" x14ac:dyDescent="0.35">
      <c r="A20" t="s">
        <v>562</v>
      </c>
      <c r="B20" t="s">
        <v>563</v>
      </c>
    </row>
    <row r="21" spans="1:2" x14ac:dyDescent="0.35">
      <c r="A21" t="s">
        <v>564</v>
      </c>
      <c r="B21" t="s">
        <v>565</v>
      </c>
    </row>
    <row r="22" spans="1:2" x14ac:dyDescent="0.35">
      <c r="A22" t="s">
        <v>566</v>
      </c>
      <c r="B22" t="s">
        <v>567</v>
      </c>
    </row>
    <row r="23" spans="1:2" x14ac:dyDescent="0.35">
      <c r="A23" t="s">
        <v>568</v>
      </c>
      <c r="B23" t="s">
        <v>569</v>
      </c>
    </row>
    <row r="24" spans="1:2" x14ac:dyDescent="0.35">
      <c r="A24" t="s">
        <v>570</v>
      </c>
      <c r="B24" t="s">
        <v>311</v>
      </c>
    </row>
    <row r="25" spans="1:2" x14ac:dyDescent="0.35">
      <c r="A25" t="s">
        <v>571</v>
      </c>
      <c r="B25" t="s">
        <v>572</v>
      </c>
    </row>
    <row r="26" spans="1:2" x14ac:dyDescent="0.35">
      <c r="A26" t="s">
        <v>573</v>
      </c>
      <c r="B26" t="s">
        <v>574</v>
      </c>
    </row>
    <row r="27" spans="1:2" x14ac:dyDescent="0.35">
      <c r="A27" t="s">
        <v>575</v>
      </c>
      <c r="B27" t="s">
        <v>576</v>
      </c>
    </row>
    <row r="28" spans="1:2" x14ac:dyDescent="0.35">
      <c r="A28" t="s">
        <v>577</v>
      </c>
      <c r="B28" t="s">
        <v>578</v>
      </c>
    </row>
    <row r="29" spans="1:2" x14ac:dyDescent="0.35">
      <c r="A29" t="s">
        <v>579</v>
      </c>
      <c r="B29" t="s">
        <v>580</v>
      </c>
    </row>
    <row r="30" spans="1:2" x14ac:dyDescent="0.35">
      <c r="A30" t="s">
        <v>581</v>
      </c>
      <c r="B30" t="s">
        <v>313</v>
      </c>
    </row>
    <row r="31" spans="1:2" x14ac:dyDescent="0.35">
      <c r="A31" t="s">
        <v>582</v>
      </c>
      <c r="B31" t="s">
        <v>583</v>
      </c>
    </row>
    <row r="32" spans="1:2" x14ac:dyDescent="0.35">
      <c r="A32" t="s">
        <v>584</v>
      </c>
      <c r="B32" t="s">
        <v>585</v>
      </c>
    </row>
    <row r="33" spans="1:2" x14ac:dyDescent="0.35">
      <c r="A33" t="s">
        <v>586</v>
      </c>
      <c r="B33" t="s">
        <v>587</v>
      </c>
    </row>
    <row r="34" spans="1:2" x14ac:dyDescent="0.35">
      <c r="A34" t="s">
        <v>588</v>
      </c>
      <c r="B34" t="s">
        <v>589</v>
      </c>
    </row>
    <row r="35" spans="1:2" x14ac:dyDescent="0.35">
      <c r="A35" t="s">
        <v>590</v>
      </c>
      <c r="B35" t="s">
        <v>591</v>
      </c>
    </row>
    <row r="36" spans="1:2" x14ac:dyDescent="0.35">
      <c r="A36" t="s">
        <v>592</v>
      </c>
      <c r="B36" t="s">
        <v>315</v>
      </c>
    </row>
    <row r="37" spans="1:2" x14ac:dyDescent="0.35">
      <c r="A37" t="s">
        <v>593</v>
      </c>
      <c r="B37" t="s">
        <v>594</v>
      </c>
    </row>
    <row r="38" spans="1:2" x14ac:dyDescent="0.35">
      <c r="A38" t="s">
        <v>595</v>
      </c>
      <c r="B38" t="s">
        <v>317</v>
      </c>
    </row>
    <row r="39" spans="1:2" x14ac:dyDescent="0.35">
      <c r="A39" t="s">
        <v>596</v>
      </c>
      <c r="B39" t="s">
        <v>597</v>
      </c>
    </row>
    <row r="40" spans="1:2" x14ac:dyDescent="0.35">
      <c r="A40" t="s">
        <v>598</v>
      </c>
      <c r="B40" t="s">
        <v>599</v>
      </c>
    </row>
    <row r="41" spans="1:2" x14ac:dyDescent="0.35">
      <c r="A41" t="s">
        <v>600</v>
      </c>
      <c r="B41" t="s">
        <v>601</v>
      </c>
    </row>
    <row r="42" spans="1:2" x14ac:dyDescent="0.35">
      <c r="A42" t="s">
        <v>602</v>
      </c>
      <c r="B42" t="s">
        <v>603</v>
      </c>
    </row>
    <row r="43" spans="1:2" x14ac:dyDescent="0.35">
      <c r="A43" t="s">
        <v>604</v>
      </c>
      <c r="B43" t="s">
        <v>319</v>
      </c>
    </row>
    <row r="44" spans="1:2" x14ac:dyDescent="0.35">
      <c r="A44" t="s">
        <v>605</v>
      </c>
      <c r="B44" t="s">
        <v>606</v>
      </c>
    </row>
    <row r="45" spans="1:2" x14ac:dyDescent="0.35">
      <c r="A45" t="s">
        <v>607</v>
      </c>
      <c r="B45" t="s">
        <v>321</v>
      </c>
    </row>
    <row r="46" spans="1:2" x14ac:dyDescent="0.35">
      <c r="A46" t="s">
        <v>608</v>
      </c>
      <c r="B46" t="s">
        <v>323</v>
      </c>
    </row>
    <row r="47" spans="1:2" x14ac:dyDescent="0.35">
      <c r="A47" t="s">
        <v>609</v>
      </c>
      <c r="B47" t="s">
        <v>610</v>
      </c>
    </row>
    <row r="48" spans="1:2" x14ac:dyDescent="0.35">
      <c r="A48" t="s">
        <v>611</v>
      </c>
      <c r="B48" t="s">
        <v>612</v>
      </c>
    </row>
    <row r="49" spans="1:2" x14ac:dyDescent="0.35">
      <c r="A49" t="s">
        <v>613</v>
      </c>
      <c r="B49" t="s">
        <v>325</v>
      </c>
    </row>
    <row r="50" spans="1:2" x14ac:dyDescent="0.35">
      <c r="A50" t="s">
        <v>614</v>
      </c>
      <c r="B50" t="s">
        <v>615</v>
      </c>
    </row>
    <row r="51" spans="1:2" x14ac:dyDescent="0.35">
      <c r="A51" t="s">
        <v>616</v>
      </c>
      <c r="B51" t="s">
        <v>327</v>
      </c>
    </row>
    <row r="52" spans="1:2" x14ac:dyDescent="0.35">
      <c r="A52" t="s">
        <v>617</v>
      </c>
      <c r="B52" t="s">
        <v>618</v>
      </c>
    </row>
    <row r="53" spans="1:2" x14ac:dyDescent="0.35">
      <c r="A53" t="s">
        <v>619</v>
      </c>
      <c r="B53" t="s">
        <v>620</v>
      </c>
    </row>
    <row r="54" spans="1:2" x14ac:dyDescent="0.35">
      <c r="A54" t="s">
        <v>621</v>
      </c>
      <c r="B54" t="s">
        <v>622</v>
      </c>
    </row>
    <row r="55" spans="1:2" x14ac:dyDescent="0.35">
      <c r="A55" t="s">
        <v>623</v>
      </c>
      <c r="B55" t="s">
        <v>624</v>
      </c>
    </row>
    <row r="56" spans="1:2" x14ac:dyDescent="0.35">
      <c r="A56" t="s">
        <v>625</v>
      </c>
      <c r="B56" t="s">
        <v>626</v>
      </c>
    </row>
    <row r="57" spans="1:2" x14ac:dyDescent="0.35">
      <c r="A57" t="s">
        <v>627</v>
      </c>
      <c r="B57" t="s">
        <v>628</v>
      </c>
    </row>
    <row r="58" spans="1:2" x14ac:dyDescent="0.35">
      <c r="A58" t="s">
        <v>629</v>
      </c>
      <c r="B58" t="s">
        <v>329</v>
      </c>
    </row>
    <row r="59" spans="1:2" x14ac:dyDescent="0.35">
      <c r="A59" t="s">
        <v>630</v>
      </c>
      <c r="B59" t="s">
        <v>631</v>
      </c>
    </row>
    <row r="60" spans="1:2" x14ac:dyDescent="0.35">
      <c r="A60" t="s">
        <v>632</v>
      </c>
      <c r="B60" t="s">
        <v>633</v>
      </c>
    </row>
    <row r="61" spans="1:2" x14ac:dyDescent="0.35">
      <c r="A61" t="s">
        <v>634</v>
      </c>
      <c r="B61" t="s">
        <v>635</v>
      </c>
    </row>
    <row r="62" spans="1:2" x14ac:dyDescent="0.35">
      <c r="A62" t="s">
        <v>636</v>
      </c>
      <c r="B62" t="s">
        <v>637</v>
      </c>
    </row>
    <row r="63" spans="1:2" x14ac:dyDescent="0.35">
      <c r="A63" t="s">
        <v>638</v>
      </c>
      <c r="B63" t="s">
        <v>331</v>
      </c>
    </row>
    <row r="64" spans="1:2" x14ac:dyDescent="0.35">
      <c r="A64" t="s">
        <v>639</v>
      </c>
      <c r="B64" t="s">
        <v>640</v>
      </c>
    </row>
    <row r="65" spans="1:2" x14ac:dyDescent="0.35">
      <c r="A65" t="s">
        <v>641</v>
      </c>
      <c r="B65" t="s">
        <v>333</v>
      </c>
    </row>
    <row r="66" spans="1:2" x14ac:dyDescent="0.35">
      <c r="A66" t="s">
        <v>642</v>
      </c>
      <c r="B66" t="s">
        <v>643</v>
      </c>
    </row>
    <row r="67" spans="1:2" x14ac:dyDescent="0.35">
      <c r="A67" t="s">
        <v>644</v>
      </c>
      <c r="B67" t="s">
        <v>645</v>
      </c>
    </row>
    <row r="68" spans="1:2" x14ac:dyDescent="0.35">
      <c r="A68" t="s">
        <v>646</v>
      </c>
      <c r="B68" t="s">
        <v>647</v>
      </c>
    </row>
    <row r="69" spans="1:2" x14ac:dyDescent="0.35">
      <c r="A69" t="s">
        <v>648</v>
      </c>
      <c r="B69" t="s">
        <v>649</v>
      </c>
    </row>
    <row r="70" spans="1:2" x14ac:dyDescent="0.35">
      <c r="A70" t="s">
        <v>650</v>
      </c>
      <c r="B70" t="s">
        <v>651</v>
      </c>
    </row>
    <row r="71" spans="1:2" x14ac:dyDescent="0.35">
      <c r="A71" t="s">
        <v>652</v>
      </c>
      <c r="B71" t="s">
        <v>653</v>
      </c>
    </row>
    <row r="72" spans="1:2" x14ac:dyDescent="0.35">
      <c r="A72" t="s">
        <v>654</v>
      </c>
      <c r="B72" t="s">
        <v>655</v>
      </c>
    </row>
    <row r="73" spans="1:2" x14ac:dyDescent="0.35">
      <c r="A73" t="s">
        <v>656</v>
      </c>
      <c r="B73" t="s">
        <v>335</v>
      </c>
    </row>
    <row r="74" spans="1:2" x14ac:dyDescent="0.35">
      <c r="A74" t="s">
        <v>657</v>
      </c>
      <c r="B74" t="s">
        <v>658</v>
      </c>
    </row>
    <row r="75" spans="1:2" x14ac:dyDescent="0.35">
      <c r="A75" t="s">
        <v>659</v>
      </c>
      <c r="B75" t="s">
        <v>660</v>
      </c>
    </row>
    <row r="76" spans="1:2" x14ac:dyDescent="0.35">
      <c r="A76" t="s">
        <v>661</v>
      </c>
      <c r="B76" t="s">
        <v>662</v>
      </c>
    </row>
    <row r="77" spans="1:2" x14ac:dyDescent="0.35">
      <c r="A77" t="s">
        <v>663</v>
      </c>
      <c r="B77" t="s">
        <v>664</v>
      </c>
    </row>
    <row r="78" spans="1:2" x14ac:dyDescent="0.35">
      <c r="A78" t="s">
        <v>665</v>
      </c>
      <c r="B78" t="s">
        <v>337</v>
      </c>
    </row>
    <row r="79" spans="1:2" x14ac:dyDescent="0.35">
      <c r="A79" t="s">
        <v>666</v>
      </c>
      <c r="B79" t="s">
        <v>667</v>
      </c>
    </row>
    <row r="80" spans="1:2" x14ac:dyDescent="0.35">
      <c r="A80" t="s">
        <v>668</v>
      </c>
      <c r="B80" t="s">
        <v>669</v>
      </c>
    </row>
    <row r="81" spans="1:2" x14ac:dyDescent="0.35">
      <c r="A81" t="s">
        <v>670</v>
      </c>
      <c r="B81" t="s">
        <v>339</v>
      </c>
    </row>
    <row r="82" spans="1:2" x14ac:dyDescent="0.35">
      <c r="A82" t="s">
        <v>671</v>
      </c>
      <c r="B82" t="s">
        <v>672</v>
      </c>
    </row>
    <row r="83" spans="1:2" x14ac:dyDescent="0.35">
      <c r="A83" t="s">
        <v>673</v>
      </c>
      <c r="B83" t="s">
        <v>674</v>
      </c>
    </row>
    <row r="84" spans="1:2" x14ac:dyDescent="0.35">
      <c r="A84" t="s">
        <v>675</v>
      </c>
      <c r="B84" t="s">
        <v>676</v>
      </c>
    </row>
    <row r="85" spans="1:2" x14ac:dyDescent="0.35">
      <c r="A85" t="s">
        <v>677</v>
      </c>
      <c r="B85" t="s">
        <v>341</v>
      </c>
    </row>
    <row r="86" spans="1:2" x14ac:dyDescent="0.35">
      <c r="A86" t="s">
        <v>678</v>
      </c>
      <c r="B86" t="s">
        <v>679</v>
      </c>
    </row>
    <row r="87" spans="1:2" x14ac:dyDescent="0.35">
      <c r="A87" t="s">
        <v>680</v>
      </c>
      <c r="B87" t="s">
        <v>681</v>
      </c>
    </row>
    <row r="88" spans="1:2" x14ac:dyDescent="0.35">
      <c r="A88" t="s">
        <v>682</v>
      </c>
      <c r="B88" t="s">
        <v>343</v>
      </c>
    </row>
    <row r="89" spans="1:2" x14ac:dyDescent="0.35">
      <c r="A89" t="s">
        <v>683</v>
      </c>
      <c r="B89" t="s">
        <v>684</v>
      </c>
    </row>
    <row r="90" spans="1:2" x14ac:dyDescent="0.35">
      <c r="A90" t="s">
        <v>685</v>
      </c>
      <c r="B90" t="s">
        <v>686</v>
      </c>
    </row>
    <row r="91" spans="1:2" x14ac:dyDescent="0.35">
      <c r="A91" t="s">
        <v>687</v>
      </c>
      <c r="B91" t="s">
        <v>345</v>
      </c>
    </row>
    <row r="92" spans="1:2" x14ac:dyDescent="0.35">
      <c r="A92" t="s">
        <v>688</v>
      </c>
      <c r="B92" t="s">
        <v>347</v>
      </c>
    </row>
    <row r="93" spans="1:2" x14ac:dyDescent="0.35">
      <c r="A93" t="s">
        <v>689</v>
      </c>
      <c r="B93" t="s">
        <v>690</v>
      </c>
    </row>
    <row r="94" spans="1:2" x14ac:dyDescent="0.35">
      <c r="A94" t="s">
        <v>691</v>
      </c>
      <c r="B94" t="s">
        <v>692</v>
      </c>
    </row>
    <row r="95" spans="1:2" x14ac:dyDescent="0.35">
      <c r="A95" t="s">
        <v>693</v>
      </c>
      <c r="B95" t="s">
        <v>694</v>
      </c>
    </row>
    <row r="96" spans="1:2" x14ac:dyDescent="0.35">
      <c r="A96" t="s">
        <v>695</v>
      </c>
      <c r="B96" t="s">
        <v>349</v>
      </c>
    </row>
    <row r="97" spans="1:2" x14ac:dyDescent="0.35">
      <c r="A97" t="s">
        <v>696</v>
      </c>
      <c r="B97" t="s">
        <v>697</v>
      </c>
    </row>
    <row r="98" spans="1:2" x14ac:dyDescent="0.35">
      <c r="A98" t="s">
        <v>698</v>
      </c>
      <c r="B98" t="s">
        <v>351</v>
      </c>
    </row>
    <row r="99" spans="1:2" x14ac:dyDescent="0.35">
      <c r="A99" t="s">
        <v>699</v>
      </c>
      <c r="B99" t="s">
        <v>700</v>
      </c>
    </row>
    <row r="100" spans="1:2" x14ac:dyDescent="0.35">
      <c r="A100" t="s">
        <v>701</v>
      </c>
      <c r="B100" t="s">
        <v>702</v>
      </c>
    </row>
    <row r="101" spans="1:2" x14ac:dyDescent="0.35">
      <c r="A101" t="s">
        <v>703</v>
      </c>
      <c r="B101" t="s">
        <v>704</v>
      </c>
    </row>
    <row r="102" spans="1:2" x14ac:dyDescent="0.35">
      <c r="A102" t="s">
        <v>705</v>
      </c>
      <c r="B102" t="s">
        <v>353</v>
      </c>
    </row>
    <row r="103" spans="1:2" x14ac:dyDescent="0.35">
      <c r="A103" t="s">
        <v>706</v>
      </c>
      <c r="B103" t="s">
        <v>707</v>
      </c>
    </row>
    <row r="104" spans="1:2" x14ac:dyDescent="0.35">
      <c r="A104" t="s">
        <v>708</v>
      </c>
      <c r="B104" t="s">
        <v>709</v>
      </c>
    </row>
    <row r="105" spans="1:2" x14ac:dyDescent="0.35">
      <c r="A105" t="s">
        <v>710</v>
      </c>
      <c r="B105" t="s">
        <v>711</v>
      </c>
    </row>
    <row r="106" spans="1:2" x14ac:dyDescent="0.35">
      <c r="A106" t="s">
        <v>712</v>
      </c>
      <c r="B106" t="s">
        <v>355</v>
      </c>
    </row>
    <row r="107" spans="1:2" x14ac:dyDescent="0.35">
      <c r="A107" t="s">
        <v>713</v>
      </c>
      <c r="B107" t="s">
        <v>714</v>
      </c>
    </row>
    <row r="108" spans="1:2" x14ac:dyDescent="0.35">
      <c r="A108" t="s">
        <v>715</v>
      </c>
      <c r="B108" t="s">
        <v>716</v>
      </c>
    </row>
    <row r="109" spans="1:2" x14ac:dyDescent="0.35">
      <c r="A109" t="s">
        <v>717</v>
      </c>
      <c r="B109" t="s">
        <v>718</v>
      </c>
    </row>
    <row r="110" spans="1:2" x14ac:dyDescent="0.35">
      <c r="A110" t="s">
        <v>719</v>
      </c>
      <c r="B110" t="s">
        <v>720</v>
      </c>
    </row>
    <row r="111" spans="1:2" x14ac:dyDescent="0.35">
      <c r="A111" t="s">
        <v>721</v>
      </c>
      <c r="B111" t="s">
        <v>722</v>
      </c>
    </row>
    <row r="112" spans="1:2" x14ac:dyDescent="0.35">
      <c r="A112" t="s">
        <v>723</v>
      </c>
      <c r="B112" t="s">
        <v>724</v>
      </c>
    </row>
    <row r="113" spans="1:2" x14ac:dyDescent="0.35">
      <c r="A113" t="s">
        <v>725</v>
      </c>
      <c r="B113" t="s">
        <v>726</v>
      </c>
    </row>
    <row r="114" spans="1:2" x14ac:dyDescent="0.35">
      <c r="A114" t="s">
        <v>727</v>
      </c>
      <c r="B114" t="s">
        <v>357</v>
      </c>
    </row>
    <row r="115" spans="1:2" x14ac:dyDescent="0.35">
      <c r="A115" t="s">
        <v>728</v>
      </c>
      <c r="B115" t="s">
        <v>729</v>
      </c>
    </row>
    <row r="116" spans="1:2" x14ac:dyDescent="0.35">
      <c r="A116" t="s">
        <v>730</v>
      </c>
      <c r="B116" t="s">
        <v>731</v>
      </c>
    </row>
    <row r="117" spans="1:2" x14ac:dyDescent="0.35">
      <c r="A117" t="s">
        <v>732</v>
      </c>
      <c r="B117" t="s">
        <v>733</v>
      </c>
    </row>
    <row r="118" spans="1:2" x14ac:dyDescent="0.35">
      <c r="A118" t="s">
        <v>734</v>
      </c>
      <c r="B118" t="s">
        <v>359</v>
      </c>
    </row>
    <row r="119" spans="1:2" x14ac:dyDescent="0.35">
      <c r="A119" t="s">
        <v>735</v>
      </c>
      <c r="B119" t="s">
        <v>736</v>
      </c>
    </row>
    <row r="120" spans="1:2" x14ac:dyDescent="0.35">
      <c r="A120" t="s">
        <v>737</v>
      </c>
      <c r="B120" t="s">
        <v>738</v>
      </c>
    </row>
    <row r="121" spans="1:2" x14ac:dyDescent="0.35">
      <c r="A121" t="s">
        <v>739</v>
      </c>
      <c r="B121" t="s">
        <v>740</v>
      </c>
    </row>
    <row r="122" spans="1:2" x14ac:dyDescent="0.35">
      <c r="A122" t="s">
        <v>741</v>
      </c>
      <c r="B122" t="s">
        <v>742</v>
      </c>
    </row>
    <row r="123" spans="1:2" x14ac:dyDescent="0.35">
      <c r="A123" t="s">
        <v>743</v>
      </c>
      <c r="B123" t="s">
        <v>744</v>
      </c>
    </row>
    <row r="124" spans="1:2" x14ac:dyDescent="0.35">
      <c r="A124" t="s">
        <v>745</v>
      </c>
      <c r="B124" t="s">
        <v>746</v>
      </c>
    </row>
    <row r="125" spans="1:2" x14ac:dyDescent="0.35">
      <c r="A125" t="s">
        <v>747</v>
      </c>
      <c r="B125" t="s">
        <v>748</v>
      </c>
    </row>
    <row r="126" spans="1:2" x14ac:dyDescent="0.35">
      <c r="A126" t="s">
        <v>749</v>
      </c>
      <c r="B126" t="s">
        <v>361</v>
      </c>
    </row>
    <row r="127" spans="1:2" x14ac:dyDescent="0.35">
      <c r="A127" t="s">
        <v>750</v>
      </c>
      <c r="B127" t="s">
        <v>751</v>
      </c>
    </row>
    <row r="128" spans="1:2" x14ac:dyDescent="0.35">
      <c r="A128" t="s">
        <v>752</v>
      </c>
      <c r="B128" t="s">
        <v>753</v>
      </c>
    </row>
    <row r="129" spans="1:2" x14ac:dyDescent="0.35">
      <c r="A129" t="s">
        <v>754</v>
      </c>
      <c r="B129" t="s">
        <v>755</v>
      </c>
    </row>
    <row r="130" spans="1:2" x14ac:dyDescent="0.35">
      <c r="A130" t="s">
        <v>756</v>
      </c>
      <c r="B130" t="s">
        <v>757</v>
      </c>
    </row>
    <row r="131" spans="1:2" x14ac:dyDescent="0.35">
      <c r="A131" t="s">
        <v>758</v>
      </c>
      <c r="B131" t="s">
        <v>759</v>
      </c>
    </row>
    <row r="132" spans="1:2" x14ac:dyDescent="0.35">
      <c r="A132" t="s">
        <v>760</v>
      </c>
      <c r="B132" t="s">
        <v>761</v>
      </c>
    </row>
    <row r="133" spans="1:2" x14ac:dyDescent="0.35">
      <c r="A133" t="s">
        <v>762</v>
      </c>
      <c r="B133" t="s">
        <v>763</v>
      </c>
    </row>
    <row r="134" spans="1:2" x14ac:dyDescent="0.35">
      <c r="A134" t="s">
        <v>764</v>
      </c>
      <c r="B134" t="s">
        <v>765</v>
      </c>
    </row>
    <row r="135" spans="1:2" x14ac:dyDescent="0.35">
      <c r="A135" t="s">
        <v>766</v>
      </c>
      <c r="B135" t="s">
        <v>363</v>
      </c>
    </row>
    <row r="136" spans="1:2" x14ac:dyDescent="0.35">
      <c r="A136" t="s">
        <v>767</v>
      </c>
      <c r="B136" t="s">
        <v>768</v>
      </c>
    </row>
    <row r="137" spans="1:2" x14ac:dyDescent="0.35">
      <c r="A137" t="s">
        <v>769</v>
      </c>
      <c r="B137" t="s">
        <v>770</v>
      </c>
    </row>
    <row r="138" spans="1:2" x14ac:dyDescent="0.35">
      <c r="A138" t="s">
        <v>771</v>
      </c>
      <c r="B138" t="s">
        <v>365</v>
      </c>
    </row>
    <row r="139" spans="1:2" x14ac:dyDescent="0.35">
      <c r="A139" t="s">
        <v>772</v>
      </c>
      <c r="B139" t="s">
        <v>773</v>
      </c>
    </row>
    <row r="140" spans="1:2" x14ac:dyDescent="0.35">
      <c r="A140" t="s">
        <v>774</v>
      </c>
      <c r="B140" t="s">
        <v>775</v>
      </c>
    </row>
    <row r="141" spans="1:2" x14ac:dyDescent="0.35">
      <c r="A141" t="s">
        <v>776</v>
      </c>
      <c r="B141" t="s">
        <v>777</v>
      </c>
    </row>
    <row r="142" spans="1:2" x14ac:dyDescent="0.35">
      <c r="A142" t="s">
        <v>778</v>
      </c>
      <c r="B142" t="s">
        <v>779</v>
      </c>
    </row>
    <row r="143" spans="1:2" x14ac:dyDescent="0.35">
      <c r="A143" t="s">
        <v>780</v>
      </c>
      <c r="B143" t="s">
        <v>781</v>
      </c>
    </row>
    <row r="144" spans="1:2" x14ac:dyDescent="0.35">
      <c r="A144" t="s">
        <v>782</v>
      </c>
      <c r="B144" t="s">
        <v>783</v>
      </c>
    </row>
    <row r="145" spans="1:2" x14ac:dyDescent="0.35">
      <c r="A145" t="s">
        <v>784</v>
      </c>
      <c r="B145" t="s">
        <v>367</v>
      </c>
    </row>
    <row r="146" spans="1:2" x14ac:dyDescent="0.35">
      <c r="A146" t="s">
        <v>785</v>
      </c>
      <c r="B146" t="s">
        <v>786</v>
      </c>
    </row>
    <row r="147" spans="1:2" x14ac:dyDescent="0.35">
      <c r="A147" t="s">
        <v>787</v>
      </c>
      <c r="B147" t="s">
        <v>788</v>
      </c>
    </row>
    <row r="148" spans="1:2" x14ac:dyDescent="0.35">
      <c r="A148" t="s">
        <v>789</v>
      </c>
      <c r="B148" t="s">
        <v>790</v>
      </c>
    </row>
    <row r="149" spans="1:2" x14ac:dyDescent="0.35">
      <c r="A149" t="s">
        <v>791</v>
      </c>
      <c r="B149" t="s">
        <v>792</v>
      </c>
    </row>
    <row r="150" spans="1:2" x14ac:dyDescent="0.35">
      <c r="A150" t="s">
        <v>793</v>
      </c>
      <c r="B150" t="s">
        <v>794</v>
      </c>
    </row>
    <row r="151" spans="1:2" x14ac:dyDescent="0.35">
      <c r="A151" t="s">
        <v>795</v>
      </c>
      <c r="B151" t="s">
        <v>796</v>
      </c>
    </row>
    <row r="152" spans="1:2" x14ac:dyDescent="0.35">
      <c r="A152" t="s">
        <v>797</v>
      </c>
      <c r="B152" t="s">
        <v>798</v>
      </c>
    </row>
    <row r="153" spans="1:2" x14ac:dyDescent="0.35">
      <c r="A153" t="s">
        <v>799</v>
      </c>
      <c r="B153" t="s">
        <v>800</v>
      </c>
    </row>
    <row r="154" spans="1:2" x14ac:dyDescent="0.35">
      <c r="A154" t="s">
        <v>801</v>
      </c>
      <c r="B154" t="s">
        <v>802</v>
      </c>
    </row>
    <row r="155" spans="1:2" x14ac:dyDescent="0.35">
      <c r="A155" t="s">
        <v>803</v>
      </c>
      <c r="B155" t="s">
        <v>369</v>
      </c>
    </row>
    <row r="156" spans="1:2" x14ac:dyDescent="0.35">
      <c r="A156" t="s">
        <v>804</v>
      </c>
      <c r="B156" t="s">
        <v>805</v>
      </c>
    </row>
    <row r="157" spans="1:2" x14ac:dyDescent="0.35">
      <c r="A157" t="s">
        <v>806</v>
      </c>
      <c r="B157" t="s">
        <v>807</v>
      </c>
    </row>
    <row r="158" spans="1:2" x14ac:dyDescent="0.35">
      <c r="A158" t="s">
        <v>808</v>
      </c>
      <c r="B158" t="s">
        <v>809</v>
      </c>
    </row>
    <row r="159" spans="1:2" x14ac:dyDescent="0.35">
      <c r="A159" t="s">
        <v>810</v>
      </c>
      <c r="B159" t="s">
        <v>371</v>
      </c>
    </row>
    <row r="160" spans="1:2" x14ac:dyDescent="0.35">
      <c r="A160" t="s">
        <v>811</v>
      </c>
      <c r="B160" t="s">
        <v>812</v>
      </c>
    </row>
    <row r="161" spans="1:2" x14ac:dyDescent="0.35">
      <c r="A161" t="s">
        <v>813</v>
      </c>
      <c r="B161" t="s">
        <v>373</v>
      </c>
    </row>
    <row r="162" spans="1:2" x14ac:dyDescent="0.35">
      <c r="A162" t="s">
        <v>814</v>
      </c>
      <c r="B162" t="s">
        <v>815</v>
      </c>
    </row>
    <row r="163" spans="1:2" x14ac:dyDescent="0.35">
      <c r="A163" t="s">
        <v>816</v>
      </c>
      <c r="B163" t="s">
        <v>817</v>
      </c>
    </row>
    <row r="164" spans="1:2" x14ac:dyDescent="0.35">
      <c r="A164" t="s">
        <v>818</v>
      </c>
      <c r="B164" t="s">
        <v>819</v>
      </c>
    </row>
    <row r="165" spans="1:2" x14ac:dyDescent="0.35">
      <c r="A165" t="s">
        <v>820</v>
      </c>
      <c r="B165" t="s">
        <v>821</v>
      </c>
    </row>
    <row r="166" spans="1:2" x14ac:dyDescent="0.35">
      <c r="A166" t="s">
        <v>822</v>
      </c>
      <c r="B166" t="s">
        <v>823</v>
      </c>
    </row>
    <row r="167" spans="1:2" x14ac:dyDescent="0.35">
      <c r="A167" t="s">
        <v>824</v>
      </c>
      <c r="B167" t="s">
        <v>825</v>
      </c>
    </row>
    <row r="168" spans="1:2" x14ac:dyDescent="0.35">
      <c r="A168" t="s">
        <v>826</v>
      </c>
      <c r="B168" t="s">
        <v>375</v>
      </c>
    </row>
    <row r="169" spans="1:2" x14ac:dyDescent="0.35">
      <c r="A169" t="s">
        <v>827</v>
      </c>
      <c r="B169" t="s">
        <v>828</v>
      </c>
    </row>
    <row r="170" spans="1:2" x14ac:dyDescent="0.35">
      <c r="A170" t="s">
        <v>829</v>
      </c>
      <c r="B170" t="s">
        <v>830</v>
      </c>
    </row>
    <row r="171" spans="1:2" x14ac:dyDescent="0.35">
      <c r="A171" t="s">
        <v>831</v>
      </c>
      <c r="B171" t="s">
        <v>832</v>
      </c>
    </row>
    <row r="172" spans="1:2" x14ac:dyDescent="0.35">
      <c r="A172" t="s">
        <v>833</v>
      </c>
      <c r="B172" t="s">
        <v>377</v>
      </c>
    </row>
    <row r="173" spans="1:2" x14ac:dyDescent="0.35">
      <c r="A173" t="s">
        <v>834</v>
      </c>
      <c r="B173" t="s">
        <v>379</v>
      </c>
    </row>
    <row r="174" spans="1:2" x14ac:dyDescent="0.35">
      <c r="A174" t="s">
        <v>835</v>
      </c>
      <c r="B174" t="s">
        <v>836</v>
      </c>
    </row>
    <row r="175" spans="1:2" x14ac:dyDescent="0.35">
      <c r="A175" t="s">
        <v>837</v>
      </c>
      <c r="B175" t="s">
        <v>381</v>
      </c>
    </row>
    <row r="176" spans="1:2" x14ac:dyDescent="0.35">
      <c r="A176" t="s">
        <v>838</v>
      </c>
      <c r="B176" t="s">
        <v>839</v>
      </c>
    </row>
    <row r="177" spans="1:2" x14ac:dyDescent="0.35">
      <c r="A177" t="s">
        <v>840</v>
      </c>
      <c r="B177" t="s">
        <v>841</v>
      </c>
    </row>
    <row r="178" spans="1:2" x14ac:dyDescent="0.35">
      <c r="A178" t="s">
        <v>842</v>
      </c>
      <c r="B178" t="s">
        <v>843</v>
      </c>
    </row>
    <row r="179" spans="1:2" x14ac:dyDescent="0.35">
      <c r="A179" t="s">
        <v>844</v>
      </c>
      <c r="B179" t="s">
        <v>845</v>
      </c>
    </row>
    <row r="180" spans="1:2" x14ac:dyDescent="0.35">
      <c r="A180" t="s">
        <v>846</v>
      </c>
      <c r="B180" t="s">
        <v>383</v>
      </c>
    </row>
    <row r="181" spans="1:2" x14ac:dyDescent="0.35">
      <c r="A181" t="s">
        <v>847</v>
      </c>
      <c r="B181" t="s">
        <v>848</v>
      </c>
    </row>
    <row r="182" spans="1:2" x14ac:dyDescent="0.35">
      <c r="A182" t="s">
        <v>849</v>
      </c>
      <c r="B182" t="s">
        <v>850</v>
      </c>
    </row>
    <row r="183" spans="1:2" x14ac:dyDescent="0.35">
      <c r="A183" t="s">
        <v>851</v>
      </c>
      <c r="B183" t="s">
        <v>385</v>
      </c>
    </row>
    <row r="184" spans="1:2" x14ac:dyDescent="0.35">
      <c r="A184" t="s">
        <v>852</v>
      </c>
      <c r="B184" t="s">
        <v>853</v>
      </c>
    </row>
    <row r="185" spans="1:2" x14ac:dyDescent="0.35">
      <c r="A185" t="s">
        <v>854</v>
      </c>
      <c r="B185" t="s">
        <v>855</v>
      </c>
    </row>
    <row r="186" spans="1:2" x14ac:dyDescent="0.35">
      <c r="A186" t="s">
        <v>856</v>
      </c>
      <c r="B186" t="s">
        <v>857</v>
      </c>
    </row>
    <row r="187" spans="1:2" x14ac:dyDescent="0.35">
      <c r="A187" t="s">
        <v>858</v>
      </c>
      <c r="B187" t="s">
        <v>859</v>
      </c>
    </row>
    <row r="188" spans="1:2" x14ac:dyDescent="0.35">
      <c r="A188" t="s">
        <v>860</v>
      </c>
      <c r="B188" t="s">
        <v>861</v>
      </c>
    </row>
    <row r="189" spans="1:2" x14ac:dyDescent="0.35">
      <c r="A189" t="s">
        <v>862</v>
      </c>
      <c r="B189" t="s">
        <v>863</v>
      </c>
    </row>
    <row r="190" spans="1:2" x14ac:dyDescent="0.35">
      <c r="A190" t="s">
        <v>864</v>
      </c>
      <c r="B190" t="s">
        <v>865</v>
      </c>
    </row>
    <row r="191" spans="1:2" x14ac:dyDescent="0.35">
      <c r="A191" t="s">
        <v>866</v>
      </c>
      <c r="B191" t="s">
        <v>389</v>
      </c>
    </row>
    <row r="192" spans="1:2" x14ac:dyDescent="0.35">
      <c r="A192" t="s">
        <v>867</v>
      </c>
      <c r="B192" t="s">
        <v>868</v>
      </c>
    </row>
    <row r="193" spans="1:2" x14ac:dyDescent="0.35">
      <c r="A193" t="s">
        <v>869</v>
      </c>
      <c r="B193" t="s">
        <v>870</v>
      </c>
    </row>
    <row r="194" spans="1:2" x14ac:dyDescent="0.35">
      <c r="A194" t="s">
        <v>871</v>
      </c>
      <c r="B194" t="s">
        <v>391</v>
      </c>
    </row>
    <row r="195" spans="1:2" x14ac:dyDescent="0.35">
      <c r="A195" t="s">
        <v>872</v>
      </c>
      <c r="B195" t="s">
        <v>873</v>
      </c>
    </row>
    <row r="196" spans="1:2" x14ac:dyDescent="0.35">
      <c r="A196" t="s">
        <v>874</v>
      </c>
      <c r="B196" t="s">
        <v>875</v>
      </c>
    </row>
    <row r="197" spans="1:2" x14ac:dyDescent="0.35">
      <c r="A197" t="s">
        <v>876</v>
      </c>
      <c r="B197" t="s">
        <v>393</v>
      </c>
    </row>
    <row r="198" spans="1:2" x14ac:dyDescent="0.35">
      <c r="A198" t="s">
        <v>877</v>
      </c>
      <c r="B198" t="s">
        <v>878</v>
      </c>
    </row>
    <row r="199" spans="1:2" x14ac:dyDescent="0.35">
      <c r="A199" t="s">
        <v>879</v>
      </c>
      <c r="B199" t="s">
        <v>880</v>
      </c>
    </row>
    <row r="200" spans="1:2" x14ac:dyDescent="0.35">
      <c r="A200" t="s">
        <v>881</v>
      </c>
      <c r="B200" t="s">
        <v>882</v>
      </c>
    </row>
    <row r="201" spans="1:2" x14ac:dyDescent="0.35">
      <c r="A201" t="s">
        <v>883</v>
      </c>
      <c r="B201" t="s">
        <v>884</v>
      </c>
    </row>
    <row r="202" spans="1:2" x14ac:dyDescent="0.35">
      <c r="A202" t="s">
        <v>885</v>
      </c>
      <c r="B202" t="s">
        <v>395</v>
      </c>
    </row>
    <row r="203" spans="1:2" x14ac:dyDescent="0.35">
      <c r="A203" t="s">
        <v>886</v>
      </c>
      <c r="B203" t="s">
        <v>397</v>
      </c>
    </row>
    <row r="204" spans="1:2" x14ac:dyDescent="0.35">
      <c r="A204" t="s">
        <v>887</v>
      </c>
      <c r="B204" t="s">
        <v>888</v>
      </c>
    </row>
    <row r="205" spans="1:2" x14ac:dyDescent="0.35">
      <c r="A205" t="s">
        <v>889</v>
      </c>
      <c r="B205" t="s">
        <v>890</v>
      </c>
    </row>
    <row r="206" spans="1:2" x14ac:dyDescent="0.35">
      <c r="A206" t="s">
        <v>891</v>
      </c>
      <c r="B206" t="s">
        <v>892</v>
      </c>
    </row>
    <row r="207" spans="1:2" x14ac:dyDescent="0.35">
      <c r="A207" t="s">
        <v>893</v>
      </c>
      <c r="B207" t="s">
        <v>894</v>
      </c>
    </row>
    <row r="208" spans="1:2" x14ac:dyDescent="0.35">
      <c r="A208" t="s">
        <v>895</v>
      </c>
      <c r="B208" t="s">
        <v>896</v>
      </c>
    </row>
    <row r="209" spans="1:2" x14ac:dyDescent="0.35">
      <c r="A209" t="s">
        <v>897</v>
      </c>
      <c r="B209" t="s">
        <v>399</v>
      </c>
    </row>
    <row r="210" spans="1:2" x14ac:dyDescent="0.35">
      <c r="A210" t="s">
        <v>898</v>
      </c>
      <c r="B210" t="s">
        <v>899</v>
      </c>
    </row>
    <row r="211" spans="1:2" x14ac:dyDescent="0.35">
      <c r="A211" t="s">
        <v>900</v>
      </c>
      <c r="B211" t="s">
        <v>901</v>
      </c>
    </row>
    <row r="212" spans="1:2" x14ac:dyDescent="0.35">
      <c r="A212" t="s">
        <v>902</v>
      </c>
      <c r="B212" t="s">
        <v>903</v>
      </c>
    </row>
    <row r="213" spans="1:2" x14ac:dyDescent="0.35">
      <c r="A213" t="s">
        <v>904</v>
      </c>
      <c r="B213" t="s">
        <v>905</v>
      </c>
    </row>
    <row r="214" spans="1:2" x14ac:dyDescent="0.35">
      <c r="A214" t="s">
        <v>906</v>
      </c>
      <c r="B214" t="s">
        <v>401</v>
      </c>
    </row>
    <row r="215" spans="1:2" x14ac:dyDescent="0.35">
      <c r="A215" t="s">
        <v>907</v>
      </c>
      <c r="B215" t="s">
        <v>908</v>
      </c>
    </row>
    <row r="216" spans="1:2" x14ac:dyDescent="0.35">
      <c r="A216" t="s">
        <v>909</v>
      </c>
      <c r="B216" t="s">
        <v>910</v>
      </c>
    </row>
    <row r="217" spans="1:2" x14ac:dyDescent="0.35">
      <c r="A217" t="s">
        <v>911</v>
      </c>
      <c r="B217" t="s">
        <v>403</v>
      </c>
    </row>
    <row r="218" spans="1:2" x14ac:dyDescent="0.35">
      <c r="A218" t="s">
        <v>912</v>
      </c>
      <c r="B218" t="s">
        <v>913</v>
      </c>
    </row>
    <row r="219" spans="1:2" x14ac:dyDescent="0.35">
      <c r="A219" t="s">
        <v>914</v>
      </c>
      <c r="B219" t="s">
        <v>915</v>
      </c>
    </row>
    <row r="220" spans="1:2" x14ac:dyDescent="0.35">
      <c r="A220" t="s">
        <v>916</v>
      </c>
      <c r="B220" t="s">
        <v>405</v>
      </c>
    </row>
    <row r="221" spans="1:2" x14ac:dyDescent="0.35">
      <c r="A221" t="s">
        <v>917</v>
      </c>
      <c r="B221" t="s">
        <v>918</v>
      </c>
    </row>
    <row r="222" spans="1:2" x14ac:dyDescent="0.35">
      <c r="A222" t="s">
        <v>919</v>
      </c>
      <c r="B222" t="s">
        <v>407</v>
      </c>
    </row>
    <row r="223" spans="1:2" x14ac:dyDescent="0.35">
      <c r="A223" t="s">
        <v>920</v>
      </c>
      <c r="B223" t="s">
        <v>921</v>
      </c>
    </row>
    <row r="224" spans="1:2" x14ac:dyDescent="0.35">
      <c r="A224" t="s">
        <v>922</v>
      </c>
      <c r="B224" t="s">
        <v>923</v>
      </c>
    </row>
    <row r="225" spans="1:2" x14ac:dyDescent="0.35">
      <c r="A225" t="s">
        <v>924</v>
      </c>
      <c r="B225" t="s">
        <v>925</v>
      </c>
    </row>
    <row r="226" spans="1:2" x14ac:dyDescent="0.35">
      <c r="A226" t="s">
        <v>926</v>
      </c>
      <c r="B226" t="s">
        <v>927</v>
      </c>
    </row>
    <row r="227" spans="1:2" x14ac:dyDescent="0.35">
      <c r="A227" t="s">
        <v>928</v>
      </c>
      <c r="B227" t="s">
        <v>409</v>
      </c>
    </row>
    <row r="228" spans="1:2" x14ac:dyDescent="0.35">
      <c r="A228" t="s">
        <v>929</v>
      </c>
      <c r="B228" t="s">
        <v>930</v>
      </c>
    </row>
    <row r="229" spans="1:2" x14ac:dyDescent="0.35">
      <c r="A229" t="s">
        <v>931</v>
      </c>
      <c r="B229" t="s">
        <v>932</v>
      </c>
    </row>
    <row r="230" spans="1:2" x14ac:dyDescent="0.35">
      <c r="A230" t="s">
        <v>933</v>
      </c>
      <c r="B230" t="s">
        <v>934</v>
      </c>
    </row>
    <row r="231" spans="1:2" x14ac:dyDescent="0.35">
      <c r="A231" t="s">
        <v>935</v>
      </c>
      <c r="B231" t="s">
        <v>411</v>
      </c>
    </row>
    <row r="232" spans="1:2" x14ac:dyDescent="0.35">
      <c r="A232" t="s">
        <v>936</v>
      </c>
      <c r="B232" t="s">
        <v>937</v>
      </c>
    </row>
    <row r="233" spans="1:2" x14ac:dyDescent="0.35">
      <c r="A233" t="s">
        <v>938</v>
      </c>
      <c r="B233" t="s">
        <v>939</v>
      </c>
    </row>
    <row r="234" spans="1:2" x14ac:dyDescent="0.35">
      <c r="A234" t="s">
        <v>940</v>
      </c>
      <c r="B234" t="s">
        <v>941</v>
      </c>
    </row>
    <row r="235" spans="1:2" x14ac:dyDescent="0.35">
      <c r="A235" t="s">
        <v>942</v>
      </c>
      <c r="B235" t="s">
        <v>943</v>
      </c>
    </row>
    <row r="236" spans="1:2" x14ac:dyDescent="0.35">
      <c r="A236" t="s">
        <v>944</v>
      </c>
      <c r="B236" t="s">
        <v>945</v>
      </c>
    </row>
    <row r="237" spans="1:2" x14ac:dyDescent="0.35">
      <c r="A237" t="s">
        <v>946</v>
      </c>
      <c r="B237" t="s">
        <v>947</v>
      </c>
    </row>
    <row r="238" spans="1:2" x14ac:dyDescent="0.35">
      <c r="A238" t="s">
        <v>948</v>
      </c>
      <c r="B238" t="s">
        <v>949</v>
      </c>
    </row>
    <row r="239" spans="1:2" x14ac:dyDescent="0.35">
      <c r="A239" t="s">
        <v>950</v>
      </c>
      <c r="B239" t="s">
        <v>951</v>
      </c>
    </row>
    <row r="240" spans="1:2" x14ac:dyDescent="0.35">
      <c r="A240" t="s">
        <v>952</v>
      </c>
      <c r="B240" t="s">
        <v>953</v>
      </c>
    </row>
    <row r="241" spans="1:2" x14ac:dyDescent="0.35">
      <c r="A241" t="s">
        <v>954</v>
      </c>
      <c r="B241" t="s">
        <v>955</v>
      </c>
    </row>
    <row r="242" spans="1:2" x14ac:dyDescent="0.35">
      <c r="A242" t="s">
        <v>956</v>
      </c>
      <c r="B242" t="s">
        <v>957</v>
      </c>
    </row>
    <row r="243" spans="1:2" x14ac:dyDescent="0.35">
      <c r="A243" t="s">
        <v>958</v>
      </c>
      <c r="B243" t="s">
        <v>413</v>
      </c>
    </row>
    <row r="244" spans="1:2" x14ac:dyDescent="0.35">
      <c r="A244" t="s">
        <v>959</v>
      </c>
      <c r="B244" t="s">
        <v>960</v>
      </c>
    </row>
    <row r="245" spans="1:2" x14ac:dyDescent="0.35">
      <c r="A245" t="s">
        <v>961</v>
      </c>
      <c r="B245" t="s">
        <v>415</v>
      </c>
    </row>
    <row r="246" spans="1:2" x14ac:dyDescent="0.35">
      <c r="A246" t="s">
        <v>962</v>
      </c>
      <c r="B246" t="s">
        <v>963</v>
      </c>
    </row>
    <row r="247" spans="1:2" x14ac:dyDescent="0.35">
      <c r="A247" t="s">
        <v>964</v>
      </c>
      <c r="B247" t="s">
        <v>417</v>
      </c>
    </row>
    <row r="248" spans="1:2" x14ac:dyDescent="0.35">
      <c r="A248" t="s">
        <v>965</v>
      </c>
      <c r="B248" t="s">
        <v>966</v>
      </c>
    </row>
    <row r="249" spans="1:2" x14ac:dyDescent="0.35">
      <c r="A249" t="s">
        <v>967</v>
      </c>
      <c r="B249" t="s">
        <v>968</v>
      </c>
    </row>
    <row r="250" spans="1:2" x14ac:dyDescent="0.35">
      <c r="A250" t="s">
        <v>969</v>
      </c>
      <c r="B250" t="s">
        <v>970</v>
      </c>
    </row>
    <row r="251" spans="1:2" x14ac:dyDescent="0.35">
      <c r="A251" t="s">
        <v>971</v>
      </c>
      <c r="B251" t="s">
        <v>419</v>
      </c>
    </row>
    <row r="252" spans="1:2" x14ac:dyDescent="0.35">
      <c r="A252" t="s">
        <v>972</v>
      </c>
      <c r="B252" t="s">
        <v>973</v>
      </c>
    </row>
    <row r="253" spans="1:2" x14ac:dyDescent="0.35">
      <c r="A253" t="s">
        <v>974</v>
      </c>
      <c r="B253" t="s">
        <v>421</v>
      </c>
    </row>
    <row r="254" spans="1:2" x14ac:dyDescent="0.35">
      <c r="A254" t="s">
        <v>975</v>
      </c>
      <c r="B254" t="s">
        <v>976</v>
      </c>
    </row>
    <row r="255" spans="1:2" x14ac:dyDescent="0.35">
      <c r="A255" t="s">
        <v>977</v>
      </c>
      <c r="B255" t="s">
        <v>978</v>
      </c>
    </row>
    <row r="256" spans="1:2" x14ac:dyDescent="0.35">
      <c r="A256" t="s">
        <v>979</v>
      </c>
      <c r="B256" t="s">
        <v>980</v>
      </c>
    </row>
    <row r="257" spans="1:2" x14ac:dyDescent="0.35">
      <c r="A257" t="s">
        <v>981</v>
      </c>
      <c r="B257" t="s">
        <v>423</v>
      </c>
    </row>
    <row r="258" spans="1:2" x14ac:dyDescent="0.35">
      <c r="A258" t="s">
        <v>982</v>
      </c>
      <c r="B258" t="s">
        <v>425</v>
      </c>
    </row>
    <row r="259" spans="1:2" x14ac:dyDescent="0.35">
      <c r="A259" t="s">
        <v>983</v>
      </c>
      <c r="B259" t="s">
        <v>984</v>
      </c>
    </row>
    <row r="260" spans="1:2" x14ac:dyDescent="0.35">
      <c r="A260" t="s">
        <v>985</v>
      </c>
      <c r="B260" t="s">
        <v>986</v>
      </c>
    </row>
    <row r="261" spans="1:2" x14ac:dyDescent="0.35">
      <c r="A261" t="s">
        <v>987</v>
      </c>
      <c r="B261" t="s">
        <v>988</v>
      </c>
    </row>
    <row r="262" spans="1:2" x14ac:dyDescent="0.35">
      <c r="A262" t="s">
        <v>989</v>
      </c>
      <c r="B262" t="s">
        <v>990</v>
      </c>
    </row>
    <row r="263" spans="1:2" x14ac:dyDescent="0.35">
      <c r="A263" t="s">
        <v>991</v>
      </c>
      <c r="B263" t="s">
        <v>992</v>
      </c>
    </row>
    <row r="264" spans="1:2" x14ac:dyDescent="0.35">
      <c r="A264" t="s">
        <v>993</v>
      </c>
      <c r="B264" t="s">
        <v>994</v>
      </c>
    </row>
    <row r="265" spans="1:2" x14ac:dyDescent="0.35">
      <c r="A265" t="s">
        <v>995</v>
      </c>
      <c r="B265" t="s">
        <v>427</v>
      </c>
    </row>
    <row r="266" spans="1:2" x14ac:dyDescent="0.35">
      <c r="A266" t="s">
        <v>996</v>
      </c>
      <c r="B266" t="s">
        <v>997</v>
      </c>
    </row>
    <row r="267" spans="1:2" x14ac:dyDescent="0.35">
      <c r="A267" t="s">
        <v>998</v>
      </c>
      <c r="B267" t="s">
        <v>999</v>
      </c>
    </row>
    <row r="268" spans="1:2" x14ac:dyDescent="0.35">
      <c r="A268" t="s">
        <v>1000</v>
      </c>
      <c r="B268" t="s">
        <v>1001</v>
      </c>
    </row>
    <row r="269" spans="1:2" x14ac:dyDescent="0.35">
      <c r="A269" t="s">
        <v>1002</v>
      </c>
      <c r="B269" t="s">
        <v>1003</v>
      </c>
    </row>
    <row r="270" spans="1:2" x14ac:dyDescent="0.35">
      <c r="A270" t="s">
        <v>1004</v>
      </c>
      <c r="B270" t="s">
        <v>429</v>
      </c>
    </row>
    <row r="271" spans="1:2" x14ac:dyDescent="0.35">
      <c r="A271" t="s">
        <v>1005</v>
      </c>
      <c r="B271" t="s">
        <v>1006</v>
      </c>
    </row>
    <row r="272" spans="1:2" x14ac:dyDescent="0.35">
      <c r="A272" t="s">
        <v>1007</v>
      </c>
      <c r="B272" t="s">
        <v>1008</v>
      </c>
    </row>
    <row r="273" spans="1:2" x14ac:dyDescent="0.35">
      <c r="A273" t="s">
        <v>1009</v>
      </c>
      <c r="B273" t="s">
        <v>1010</v>
      </c>
    </row>
    <row r="274" spans="1:2" x14ac:dyDescent="0.35">
      <c r="A274" t="s">
        <v>1011</v>
      </c>
      <c r="B274" t="s">
        <v>431</v>
      </c>
    </row>
    <row r="275" spans="1:2" x14ac:dyDescent="0.35">
      <c r="A275" t="s">
        <v>1012</v>
      </c>
      <c r="B275" t="s">
        <v>433</v>
      </c>
    </row>
    <row r="276" spans="1:2" x14ac:dyDescent="0.35">
      <c r="A276" t="s">
        <v>1013</v>
      </c>
      <c r="B276" t="s">
        <v>1014</v>
      </c>
    </row>
    <row r="277" spans="1:2" x14ac:dyDescent="0.35">
      <c r="A277" t="s">
        <v>1015</v>
      </c>
      <c r="B277" t="s">
        <v>1016</v>
      </c>
    </row>
    <row r="278" spans="1:2" x14ac:dyDescent="0.35">
      <c r="A278" t="s">
        <v>1017</v>
      </c>
      <c r="B278" t="s">
        <v>1018</v>
      </c>
    </row>
    <row r="279" spans="1:2" x14ac:dyDescent="0.35">
      <c r="A279" t="s">
        <v>1019</v>
      </c>
      <c r="B279" t="s">
        <v>1020</v>
      </c>
    </row>
    <row r="280" spans="1:2" x14ac:dyDescent="0.35">
      <c r="A280" t="s">
        <v>1021</v>
      </c>
      <c r="B280" t="s">
        <v>1022</v>
      </c>
    </row>
    <row r="281" spans="1:2" x14ac:dyDescent="0.35">
      <c r="A281" t="s">
        <v>1023</v>
      </c>
      <c r="B281" t="s">
        <v>1024</v>
      </c>
    </row>
    <row r="282" spans="1:2" x14ac:dyDescent="0.35">
      <c r="A282" t="s">
        <v>1025</v>
      </c>
      <c r="B282" t="s">
        <v>1026</v>
      </c>
    </row>
    <row r="283" spans="1:2" x14ac:dyDescent="0.35">
      <c r="A283" t="s">
        <v>1027</v>
      </c>
      <c r="B283" t="s">
        <v>435</v>
      </c>
    </row>
    <row r="284" spans="1:2" x14ac:dyDescent="0.35">
      <c r="A284" t="s">
        <v>1028</v>
      </c>
      <c r="B284" t="s">
        <v>1029</v>
      </c>
    </row>
    <row r="285" spans="1:2" x14ac:dyDescent="0.35">
      <c r="A285" t="s">
        <v>1030</v>
      </c>
      <c r="B285" t="s">
        <v>1031</v>
      </c>
    </row>
    <row r="286" spans="1:2" x14ac:dyDescent="0.35">
      <c r="A286" t="s">
        <v>1032</v>
      </c>
      <c r="B286" t="s">
        <v>1033</v>
      </c>
    </row>
    <row r="287" spans="1:2" x14ac:dyDescent="0.35">
      <c r="A287" t="s">
        <v>1034</v>
      </c>
      <c r="B287" t="s">
        <v>1035</v>
      </c>
    </row>
    <row r="288" spans="1:2" x14ac:dyDescent="0.35">
      <c r="A288" t="s">
        <v>1036</v>
      </c>
      <c r="B288" t="s">
        <v>1037</v>
      </c>
    </row>
    <row r="289" spans="1:2" x14ac:dyDescent="0.35">
      <c r="A289" t="s">
        <v>1038</v>
      </c>
      <c r="B289" t="s">
        <v>1039</v>
      </c>
    </row>
    <row r="290" spans="1:2" x14ac:dyDescent="0.35">
      <c r="A290" t="s">
        <v>1040</v>
      </c>
      <c r="B290" t="s">
        <v>1041</v>
      </c>
    </row>
    <row r="291" spans="1:2" x14ac:dyDescent="0.35">
      <c r="A291" t="s">
        <v>1042</v>
      </c>
      <c r="B291" t="s">
        <v>1043</v>
      </c>
    </row>
    <row r="292" spans="1:2" x14ac:dyDescent="0.35">
      <c r="A292" t="s">
        <v>1044</v>
      </c>
      <c r="B292" t="s">
        <v>1045</v>
      </c>
    </row>
    <row r="293" spans="1:2" x14ac:dyDescent="0.35">
      <c r="A293" t="s">
        <v>1046</v>
      </c>
      <c r="B293" t="s">
        <v>437</v>
      </c>
    </row>
    <row r="294" spans="1:2" x14ac:dyDescent="0.35">
      <c r="A294" t="s">
        <v>1047</v>
      </c>
      <c r="B294" t="s">
        <v>1048</v>
      </c>
    </row>
    <row r="295" spans="1:2" x14ac:dyDescent="0.35">
      <c r="A295" t="s">
        <v>1049</v>
      </c>
      <c r="B295" t="s">
        <v>1050</v>
      </c>
    </row>
    <row r="296" spans="1:2" x14ac:dyDescent="0.35">
      <c r="A296" t="s">
        <v>1051</v>
      </c>
      <c r="B296" t="s">
        <v>1052</v>
      </c>
    </row>
    <row r="297" spans="1:2" x14ac:dyDescent="0.35">
      <c r="A297" t="s">
        <v>1053</v>
      </c>
      <c r="B297" t="s">
        <v>1054</v>
      </c>
    </row>
    <row r="298" spans="1:2" x14ac:dyDescent="0.35">
      <c r="A298" t="s">
        <v>1055</v>
      </c>
      <c r="B298" t="s">
        <v>1056</v>
      </c>
    </row>
    <row r="299" spans="1:2" x14ac:dyDescent="0.35">
      <c r="A299" t="s">
        <v>1057</v>
      </c>
      <c r="B299" t="s">
        <v>1058</v>
      </c>
    </row>
    <row r="300" spans="1:2" x14ac:dyDescent="0.35">
      <c r="A300" t="s">
        <v>1059</v>
      </c>
      <c r="B300" t="s">
        <v>1060</v>
      </c>
    </row>
    <row r="301" spans="1:2" x14ac:dyDescent="0.35">
      <c r="A301" t="s">
        <v>1061</v>
      </c>
      <c r="B301" t="s">
        <v>1062</v>
      </c>
    </row>
    <row r="302" spans="1:2" x14ac:dyDescent="0.35">
      <c r="A302" t="s">
        <v>1063</v>
      </c>
      <c r="B302" t="s">
        <v>1064</v>
      </c>
    </row>
    <row r="303" spans="1:2" x14ac:dyDescent="0.35">
      <c r="A303" t="s">
        <v>1065</v>
      </c>
      <c r="B303" t="s">
        <v>1066</v>
      </c>
    </row>
    <row r="304" spans="1:2" x14ac:dyDescent="0.35">
      <c r="A304" t="s">
        <v>1067</v>
      </c>
      <c r="B304" t="s">
        <v>1068</v>
      </c>
    </row>
    <row r="305" spans="1:2" x14ac:dyDescent="0.35">
      <c r="A305" t="s">
        <v>1069</v>
      </c>
      <c r="B305" t="s">
        <v>439</v>
      </c>
    </row>
    <row r="306" spans="1:2" x14ac:dyDescent="0.35">
      <c r="A306" t="s">
        <v>1070</v>
      </c>
      <c r="B306" t="s">
        <v>441</v>
      </c>
    </row>
    <row r="307" spans="1:2" x14ac:dyDescent="0.35">
      <c r="A307" t="s">
        <v>1071</v>
      </c>
      <c r="B307" t="s">
        <v>1072</v>
      </c>
    </row>
    <row r="308" spans="1:2" x14ac:dyDescent="0.35">
      <c r="A308" t="s">
        <v>1073</v>
      </c>
      <c r="B308" t="s">
        <v>1074</v>
      </c>
    </row>
    <row r="309" spans="1:2" x14ac:dyDescent="0.35">
      <c r="A309" t="s">
        <v>1075</v>
      </c>
      <c r="B309" t="s">
        <v>443</v>
      </c>
    </row>
    <row r="310" spans="1:2" x14ac:dyDescent="0.35">
      <c r="A310" t="s">
        <v>1076</v>
      </c>
      <c r="B310" t="s">
        <v>1077</v>
      </c>
    </row>
    <row r="311" spans="1:2" x14ac:dyDescent="0.35">
      <c r="A311" t="s">
        <v>1078</v>
      </c>
      <c r="B311" t="s">
        <v>1079</v>
      </c>
    </row>
    <row r="312" spans="1:2" x14ac:dyDescent="0.35">
      <c r="A312" t="s">
        <v>1080</v>
      </c>
      <c r="B312" t="s">
        <v>1081</v>
      </c>
    </row>
    <row r="313" spans="1:2" x14ac:dyDescent="0.35">
      <c r="A313" t="s">
        <v>1082</v>
      </c>
      <c r="B313" t="s">
        <v>1083</v>
      </c>
    </row>
    <row r="314" spans="1:2" x14ac:dyDescent="0.35">
      <c r="A314" t="s">
        <v>1084</v>
      </c>
      <c r="B314" t="s">
        <v>1085</v>
      </c>
    </row>
    <row r="315" spans="1:2" x14ac:dyDescent="0.35">
      <c r="A315" t="s">
        <v>1086</v>
      </c>
      <c r="B315" t="s">
        <v>1087</v>
      </c>
    </row>
    <row r="316" spans="1:2" x14ac:dyDescent="0.35">
      <c r="A316" t="s">
        <v>1088</v>
      </c>
      <c r="B316" t="s">
        <v>1089</v>
      </c>
    </row>
    <row r="317" spans="1:2" x14ac:dyDescent="0.35">
      <c r="A317" t="s">
        <v>1090</v>
      </c>
      <c r="B317" t="s">
        <v>445</v>
      </c>
    </row>
    <row r="318" spans="1:2" x14ac:dyDescent="0.35">
      <c r="A318" t="s">
        <v>1091</v>
      </c>
      <c r="B318" t="s">
        <v>447</v>
      </c>
    </row>
    <row r="319" spans="1:2" x14ac:dyDescent="0.35">
      <c r="A319" t="s">
        <v>1092</v>
      </c>
      <c r="B319" t="s">
        <v>1093</v>
      </c>
    </row>
    <row r="320" spans="1:2" x14ac:dyDescent="0.35">
      <c r="A320" t="s">
        <v>1094</v>
      </c>
      <c r="B320" t="s">
        <v>1095</v>
      </c>
    </row>
    <row r="321" spans="1:2" x14ac:dyDescent="0.35">
      <c r="A321" t="s">
        <v>1096</v>
      </c>
      <c r="B321" t="s">
        <v>1097</v>
      </c>
    </row>
    <row r="322" spans="1:2" x14ac:dyDescent="0.35">
      <c r="A322" t="s">
        <v>1098</v>
      </c>
      <c r="B322" t="s">
        <v>1099</v>
      </c>
    </row>
    <row r="323" spans="1:2" x14ac:dyDescent="0.35">
      <c r="A323" t="s">
        <v>1100</v>
      </c>
      <c r="B323" t="s">
        <v>449</v>
      </c>
    </row>
    <row r="324" spans="1:2" x14ac:dyDescent="0.35">
      <c r="A324" t="s">
        <v>1101</v>
      </c>
      <c r="B324" t="s">
        <v>1102</v>
      </c>
    </row>
    <row r="325" spans="1:2" x14ac:dyDescent="0.35">
      <c r="A325" t="s">
        <v>1103</v>
      </c>
      <c r="B325" t="s">
        <v>451</v>
      </c>
    </row>
    <row r="326" spans="1:2" x14ac:dyDescent="0.35">
      <c r="A326" t="s">
        <v>1104</v>
      </c>
      <c r="B326" t="s">
        <v>1105</v>
      </c>
    </row>
    <row r="327" spans="1:2" x14ac:dyDescent="0.35">
      <c r="A327" t="s">
        <v>1106</v>
      </c>
      <c r="B327" t="s">
        <v>1107</v>
      </c>
    </row>
    <row r="328" spans="1:2" x14ac:dyDescent="0.35">
      <c r="A328" t="s">
        <v>1108</v>
      </c>
      <c r="B328" t="s">
        <v>1109</v>
      </c>
    </row>
    <row r="329" spans="1:2" x14ac:dyDescent="0.35">
      <c r="A329" t="s">
        <v>1110</v>
      </c>
      <c r="B329" t="s">
        <v>1111</v>
      </c>
    </row>
    <row r="330" spans="1:2" x14ac:dyDescent="0.35">
      <c r="A330" t="s">
        <v>1112</v>
      </c>
      <c r="B330" t="s">
        <v>1113</v>
      </c>
    </row>
    <row r="331" spans="1:2" x14ac:dyDescent="0.35">
      <c r="A331" t="s">
        <v>1114</v>
      </c>
      <c r="B331" t="s">
        <v>1115</v>
      </c>
    </row>
    <row r="332" spans="1:2" x14ac:dyDescent="0.35">
      <c r="A332" t="s">
        <v>1116</v>
      </c>
      <c r="B332" t="s">
        <v>1117</v>
      </c>
    </row>
    <row r="333" spans="1:2" x14ac:dyDescent="0.35">
      <c r="A333" t="s">
        <v>1118</v>
      </c>
      <c r="B333" t="s">
        <v>1119</v>
      </c>
    </row>
    <row r="334" spans="1:2" x14ac:dyDescent="0.35">
      <c r="A334" t="s">
        <v>1120</v>
      </c>
      <c r="B334" t="s">
        <v>1121</v>
      </c>
    </row>
    <row r="335" spans="1:2" x14ac:dyDescent="0.35">
      <c r="A335" t="s">
        <v>1122</v>
      </c>
      <c r="B335" t="s">
        <v>453</v>
      </c>
    </row>
    <row r="336" spans="1:2" x14ac:dyDescent="0.35">
      <c r="A336" t="s">
        <v>1123</v>
      </c>
      <c r="B336" t="s">
        <v>1124</v>
      </c>
    </row>
    <row r="337" spans="1:2" x14ac:dyDescent="0.35">
      <c r="A337" t="s">
        <v>1125</v>
      </c>
      <c r="B337" t="s">
        <v>1126</v>
      </c>
    </row>
    <row r="338" spans="1:2" x14ac:dyDescent="0.35">
      <c r="A338" t="s">
        <v>1127</v>
      </c>
      <c r="B338" t="s">
        <v>1128</v>
      </c>
    </row>
    <row r="339" spans="1:2" x14ac:dyDescent="0.35">
      <c r="A339" t="s">
        <v>1129</v>
      </c>
      <c r="B339" t="s">
        <v>455</v>
      </c>
    </row>
    <row r="340" spans="1:2" x14ac:dyDescent="0.35">
      <c r="A340" t="s">
        <v>1130</v>
      </c>
      <c r="B340" t="s">
        <v>1131</v>
      </c>
    </row>
    <row r="341" spans="1:2" x14ac:dyDescent="0.35">
      <c r="A341" t="s">
        <v>1132</v>
      </c>
      <c r="B341" t="s">
        <v>1133</v>
      </c>
    </row>
    <row r="342" spans="1:2" x14ac:dyDescent="0.35">
      <c r="A342" t="s">
        <v>1134</v>
      </c>
      <c r="B342" t="s">
        <v>1135</v>
      </c>
    </row>
    <row r="343" spans="1:2" x14ac:dyDescent="0.35">
      <c r="A343" t="s">
        <v>1136</v>
      </c>
      <c r="B343" t="s">
        <v>457</v>
      </c>
    </row>
    <row r="344" spans="1:2" x14ac:dyDescent="0.35">
      <c r="A344" t="s">
        <v>1137</v>
      </c>
      <c r="B344" t="s">
        <v>1138</v>
      </c>
    </row>
    <row r="345" spans="1:2" x14ac:dyDescent="0.35">
      <c r="A345" t="s">
        <v>1139</v>
      </c>
      <c r="B345" t="s">
        <v>1140</v>
      </c>
    </row>
    <row r="346" spans="1:2" x14ac:dyDescent="0.35">
      <c r="A346" t="s">
        <v>1141</v>
      </c>
      <c r="B346" t="s">
        <v>1142</v>
      </c>
    </row>
    <row r="347" spans="1:2" x14ac:dyDescent="0.35">
      <c r="A347" t="s">
        <v>1143</v>
      </c>
      <c r="B347" t="s">
        <v>1144</v>
      </c>
    </row>
    <row r="348" spans="1:2" x14ac:dyDescent="0.35">
      <c r="A348" t="s">
        <v>1145</v>
      </c>
      <c r="B348" t="s">
        <v>1146</v>
      </c>
    </row>
    <row r="349" spans="1:2" x14ac:dyDescent="0.35">
      <c r="A349" t="s">
        <v>1147</v>
      </c>
      <c r="B349" t="s">
        <v>1148</v>
      </c>
    </row>
    <row r="350" spans="1:2" x14ac:dyDescent="0.35">
      <c r="A350" t="s">
        <v>1149</v>
      </c>
      <c r="B350" t="s">
        <v>1150</v>
      </c>
    </row>
    <row r="351" spans="1:2" x14ac:dyDescent="0.35">
      <c r="A351" t="s">
        <v>1151</v>
      </c>
      <c r="B351" t="s">
        <v>1152</v>
      </c>
    </row>
    <row r="352" spans="1:2" x14ac:dyDescent="0.35">
      <c r="A352" t="s">
        <v>1153</v>
      </c>
      <c r="B352" t="s">
        <v>1154</v>
      </c>
    </row>
    <row r="353" spans="1:2" x14ac:dyDescent="0.35">
      <c r="A353" t="s">
        <v>1155</v>
      </c>
      <c r="B353" t="s">
        <v>459</v>
      </c>
    </row>
    <row r="354" spans="1:2" x14ac:dyDescent="0.35">
      <c r="A354" t="s">
        <v>1156</v>
      </c>
      <c r="B354" t="s">
        <v>1157</v>
      </c>
    </row>
    <row r="355" spans="1:2" x14ac:dyDescent="0.35">
      <c r="A355" t="s">
        <v>1158</v>
      </c>
      <c r="B355" t="s">
        <v>1159</v>
      </c>
    </row>
    <row r="356" spans="1:2" x14ac:dyDescent="0.35">
      <c r="A356" t="s">
        <v>1160</v>
      </c>
      <c r="B356" t="s">
        <v>1161</v>
      </c>
    </row>
    <row r="357" spans="1:2" x14ac:dyDescent="0.35">
      <c r="A357" t="s">
        <v>1162</v>
      </c>
      <c r="B357" t="s">
        <v>1163</v>
      </c>
    </row>
    <row r="358" spans="1:2" x14ac:dyDescent="0.35">
      <c r="A358" t="s">
        <v>1164</v>
      </c>
      <c r="B358" t="s">
        <v>1165</v>
      </c>
    </row>
    <row r="359" spans="1:2" x14ac:dyDescent="0.35">
      <c r="A359" t="s">
        <v>1166</v>
      </c>
      <c r="B359" t="s">
        <v>1167</v>
      </c>
    </row>
    <row r="360" spans="1:2" x14ac:dyDescent="0.35">
      <c r="A360" t="s">
        <v>1168</v>
      </c>
      <c r="B360" t="s">
        <v>1169</v>
      </c>
    </row>
    <row r="361" spans="1:2" x14ac:dyDescent="0.35">
      <c r="A361" t="s">
        <v>1170</v>
      </c>
      <c r="B361" t="s">
        <v>1171</v>
      </c>
    </row>
    <row r="362" spans="1:2" x14ac:dyDescent="0.35">
      <c r="A362" t="s">
        <v>1172</v>
      </c>
      <c r="B362" t="s">
        <v>1173</v>
      </c>
    </row>
    <row r="363" spans="1:2" x14ac:dyDescent="0.35">
      <c r="A363" t="s">
        <v>1174</v>
      </c>
      <c r="B363" t="s">
        <v>1175</v>
      </c>
    </row>
    <row r="364" spans="1:2" x14ac:dyDescent="0.35">
      <c r="A364" t="s">
        <v>1176</v>
      </c>
      <c r="B364" t="s">
        <v>1177</v>
      </c>
    </row>
    <row r="365" spans="1:2" x14ac:dyDescent="0.35">
      <c r="A365" t="s">
        <v>1178</v>
      </c>
      <c r="B365" t="s">
        <v>461</v>
      </c>
    </row>
    <row r="366" spans="1:2" x14ac:dyDescent="0.35">
      <c r="A366" t="s">
        <v>1179</v>
      </c>
      <c r="B366" t="s">
        <v>1180</v>
      </c>
    </row>
    <row r="367" spans="1:2" x14ac:dyDescent="0.35">
      <c r="A367" t="s">
        <v>1181</v>
      </c>
      <c r="B367" t="s">
        <v>1182</v>
      </c>
    </row>
    <row r="368" spans="1:2" x14ac:dyDescent="0.35">
      <c r="A368" t="s">
        <v>1183</v>
      </c>
      <c r="B368" t="s">
        <v>1184</v>
      </c>
    </row>
    <row r="369" spans="1:2" x14ac:dyDescent="0.35">
      <c r="A369" t="s">
        <v>1185</v>
      </c>
      <c r="B369" t="s">
        <v>1186</v>
      </c>
    </row>
    <row r="370" spans="1:2" x14ac:dyDescent="0.35">
      <c r="A370" t="s">
        <v>1187</v>
      </c>
      <c r="B370" t="s">
        <v>463</v>
      </c>
    </row>
    <row r="371" spans="1:2" x14ac:dyDescent="0.35">
      <c r="A371" t="s">
        <v>1188</v>
      </c>
      <c r="B371" t="s">
        <v>1189</v>
      </c>
    </row>
    <row r="372" spans="1:2" x14ac:dyDescent="0.35">
      <c r="A372" t="s">
        <v>1190</v>
      </c>
      <c r="B372" t="s">
        <v>1191</v>
      </c>
    </row>
    <row r="373" spans="1:2" x14ac:dyDescent="0.35">
      <c r="A373" t="s">
        <v>1192</v>
      </c>
      <c r="B373" t="s">
        <v>1193</v>
      </c>
    </row>
    <row r="374" spans="1:2" x14ac:dyDescent="0.35">
      <c r="A374" t="s">
        <v>1194</v>
      </c>
      <c r="B374" t="s">
        <v>465</v>
      </c>
    </row>
    <row r="375" spans="1:2" x14ac:dyDescent="0.35">
      <c r="A375" t="s">
        <v>1195</v>
      </c>
      <c r="B375" t="s">
        <v>1196</v>
      </c>
    </row>
    <row r="376" spans="1:2" x14ac:dyDescent="0.35">
      <c r="A376" t="s">
        <v>1197</v>
      </c>
      <c r="B376" t="s">
        <v>467</v>
      </c>
    </row>
    <row r="377" spans="1:2" x14ac:dyDescent="0.35">
      <c r="A377" t="s">
        <v>1198</v>
      </c>
      <c r="B377" t="s">
        <v>1199</v>
      </c>
    </row>
    <row r="378" spans="1:2" x14ac:dyDescent="0.35">
      <c r="A378" t="s">
        <v>1200</v>
      </c>
      <c r="B378" t="s">
        <v>1201</v>
      </c>
    </row>
    <row r="379" spans="1:2" x14ac:dyDescent="0.35">
      <c r="A379" t="s">
        <v>1202</v>
      </c>
      <c r="B379" t="s">
        <v>1203</v>
      </c>
    </row>
    <row r="380" spans="1:2" x14ac:dyDescent="0.35">
      <c r="A380" t="s">
        <v>1204</v>
      </c>
      <c r="B380" t="s">
        <v>1205</v>
      </c>
    </row>
    <row r="381" spans="1:2" x14ac:dyDescent="0.35">
      <c r="A381" t="s">
        <v>1206</v>
      </c>
      <c r="B381" t="s">
        <v>1207</v>
      </c>
    </row>
    <row r="382" spans="1:2" x14ac:dyDescent="0.35">
      <c r="A382" t="s">
        <v>1208</v>
      </c>
      <c r="B382" t="s">
        <v>1209</v>
      </c>
    </row>
    <row r="383" spans="1:2" x14ac:dyDescent="0.35">
      <c r="A383" t="s">
        <v>1210</v>
      </c>
      <c r="B383" t="s">
        <v>469</v>
      </c>
    </row>
    <row r="384" spans="1:2" x14ac:dyDescent="0.35">
      <c r="A384" t="s">
        <v>1211</v>
      </c>
      <c r="B384" t="s">
        <v>1212</v>
      </c>
    </row>
    <row r="385" spans="1:2" x14ac:dyDescent="0.35">
      <c r="A385" t="s">
        <v>1213</v>
      </c>
      <c r="B385" t="s">
        <v>1214</v>
      </c>
    </row>
    <row r="386" spans="1:2" x14ac:dyDescent="0.35">
      <c r="A386" t="s">
        <v>1215</v>
      </c>
      <c r="B386" t="s">
        <v>1216</v>
      </c>
    </row>
    <row r="387" spans="1:2" x14ac:dyDescent="0.35">
      <c r="A387" t="s">
        <v>1217</v>
      </c>
      <c r="B387" t="s">
        <v>471</v>
      </c>
    </row>
    <row r="388" spans="1:2" x14ac:dyDescent="0.35">
      <c r="A388" t="s">
        <v>1218</v>
      </c>
      <c r="B388" t="s">
        <v>1219</v>
      </c>
    </row>
    <row r="389" spans="1:2" x14ac:dyDescent="0.35">
      <c r="A389" t="s">
        <v>1220</v>
      </c>
      <c r="B389" t="s">
        <v>473</v>
      </c>
    </row>
    <row r="390" spans="1:2" x14ac:dyDescent="0.35">
      <c r="A390" t="s">
        <v>1221</v>
      </c>
      <c r="B390" t="s">
        <v>1222</v>
      </c>
    </row>
    <row r="391" spans="1:2" x14ac:dyDescent="0.35">
      <c r="A391" t="s">
        <v>1223</v>
      </c>
      <c r="B391" t="s">
        <v>1224</v>
      </c>
    </row>
    <row r="392" spans="1:2" x14ac:dyDescent="0.35">
      <c r="A392" t="s">
        <v>1225</v>
      </c>
      <c r="B392" t="s">
        <v>1226</v>
      </c>
    </row>
    <row r="393" spans="1:2" x14ac:dyDescent="0.35">
      <c r="A393" t="s">
        <v>1227</v>
      </c>
      <c r="B393" t="s">
        <v>1228</v>
      </c>
    </row>
    <row r="394" spans="1:2" x14ac:dyDescent="0.35">
      <c r="A394" t="s">
        <v>1229</v>
      </c>
      <c r="B394" t="s">
        <v>1230</v>
      </c>
    </row>
    <row r="395" spans="1:2" x14ac:dyDescent="0.35">
      <c r="A395" t="s">
        <v>1231</v>
      </c>
      <c r="B395" t="s">
        <v>475</v>
      </c>
    </row>
    <row r="396" spans="1:2" x14ac:dyDescent="0.35">
      <c r="A396" t="s">
        <v>1232</v>
      </c>
      <c r="B396" t="s">
        <v>1233</v>
      </c>
    </row>
    <row r="397" spans="1:2" x14ac:dyDescent="0.35">
      <c r="A397" t="s">
        <v>1234</v>
      </c>
      <c r="B397" t="s">
        <v>1235</v>
      </c>
    </row>
    <row r="398" spans="1:2" x14ac:dyDescent="0.35">
      <c r="A398" t="s">
        <v>1236</v>
      </c>
      <c r="B398" t="s">
        <v>477</v>
      </c>
    </row>
    <row r="399" spans="1:2" x14ac:dyDescent="0.35">
      <c r="A399" t="s">
        <v>1237</v>
      </c>
      <c r="B399" t="s">
        <v>1238</v>
      </c>
    </row>
    <row r="400" spans="1:2" x14ac:dyDescent="0.35">
      <c r="A400" t="s">
        <v>1239</v>
      </c>
      <c r="B400" t="s">
        <v>1240</v>
      </c>
    </row>
    <row r="401" spans="1:2" x14ac:dyDescent="0.35">
      <c r="A401" t="s">
        <v>1241</v>
      </c>
      <c r="B401" t="s">
        <v>1242</v>
      </c>
    </row>
    <row r="402" spans="1:2" x14ac:dyDescent="0.35">
      <c r="A402" t="s">
        <v>1243</v>
      </c>
      <c r="B402" t="s">
        <v>479</v>
      </c>
    </row>
    <row r="403" spans="1:2" x14ac:dyDescent="0.35">
      <c r="A403" t="s">
        <v>1244</v>
      </c>
      <c r="B403" t="s">
        <v>1245</v>
      </c>
    </row>
    <row r="404" spans="1:2" x14ac:dyDescent="0.35">
      <c r="A404" t="s">
        <v>1246</v>
      </c>
      <c r="B404" t="s">
        <v>1247</v>
      </c>
    </row>
    <row r="405" spans="1:2" x14ac:dyDescent="0.35">
      <c r="A405" t="s">
        <v>1248</v>
      </c>
      <c r="B405" t="s">
        <v>1249</v>
      </c>
    </row>
    <row r="406" spans="1:2" x14ac:dyDescent="0.35">
      <c r="A406" t="s">
        <v>1250</v>
      </c>
      <c r="B406" t="s">
        <v>1251</v>
      </c>
    </row>
    <row r="407" spans="1:2" x14ac:dyDescent="0.35">
      <c r="A407" t="s">
        <v>1252</v>
      </c>
      <c r="B407" t="s">
        <v>1253</v>
      </c>
    </row>
    <row r="408" spans="1:2" x14ac:dyDescent="0.35">
      <c r="A408" t="s">
        <v>1254</v>
      </c>
      <c r="B408" t="s">
        <v>481</v>
      </c>
    </row>
    <row r="409" spans="1:2" x14ac:dyDescent="0.35">
      <c r="A409" t="s">
        <v>1255</v>
      </c>
      <c r="B409" t="s">
        <v>1256</v>
      </c>
    </row>
    <row r="410" spans="1:2" x14ac:dyDescent="0.35">
      <c r="A410" t="s">
        <v>1257</v>
      </c>
      <c r="B410" t="s">
        <v>1258</v>
      </c>
    </row>
    <row r="411" spans="1:2" x14ac:dyDescent="0.35">
      <c r="A411" t="s">
        <v>1259</v>
      </c>
      <c r="B411" t="s">
        <v>1260</v>
      </c>
    </row>
    <row r="412" spans="1:2" x14ac:dyDescent="0.35">
      <c r="A412" t="s">
        <v>1261</v>
      </c>
      <c r="B412" t="s">
        <v>1262</v>
      </c>
    </row>
    <row r="413" spans="1:2" x14ac:dyDescent="0.35">
      <c r="A413" t="s">
        <v>1263</v>
      </c>
      <c r="B413" t="s">
        <v>1264</v>
      </c>
    </row>
    <row r="414" spans="1:2" x14ac:dyDescent="0.35">
      <c r="A414" t="s">
        <v>1265</v>
      </c>
      <c r="B414" t="s">
        <v>1266</v>
      </c>
    </row>
    <row r="415" spans="1:2" x14ac:dyDescent="0.35">
      <c r="A415" t="s">
        <v>1267</v>
      </c>
      <c r="B415" t="s">
        <v>483</v>
      </c>
    </row>
    <row r="416" spans="1:2" x14ac:dyDescent="0.35">
      <c r="A416" t="s">
        <v>1268</v>
      </c>
      <c r="B416" t="s">
        <v>1269</v>
      </c>
    </row>
    <row r="417" spans="1:2" x14ac:dyDescent="0.35">
      <c r="A417" t="s">
        <v>1270</v>
      </c>
      <c r="B417" t="s">
        <v>485</v>
      </c>
    </row>
    <row r="418" spans="1:2" x14ac:dyDescent="0.35">
      <c r="A418" t="s">
        <v>1271</v>
      </c>
      <c r="B418" t="s">
        <v>1272</v>
      </c>
    </row>
    <row r="419" spans="1:2" x14ac:dyDescent="0.35">
      <c r="A419" t="s">
        <v>1273</v>
      </c>
      <c r="B419" t="s">
        <v>1274</v>
      </c>
    </row>
    <row r="420" spans="1:2" x14ac:dyDescent="0.35">
      <c r="A420" t="s">
        <v>1275</v>
      </c>
      <c r="B420" t="s">
        <v>1276</v>
      </c>
    </row>
    <row r="421" spans="1:2" x14ac:dyDescent="0.35">
      <c r="A421" t="s">
        <v>1277</v>
      </c>
      <c r="B421" t="s">
        <v>1278</v>
      </c>
    </row>
    <row r="422" spans="1:2" x14ac:dyDescent="0.35">
      <c r="A422" t="s">
        <v>1279</v>
      </c>
      <c r="B422" t="s">
        <v>1280</v>
      </c>
    </row>
    <row r="423" spans="1:2" x14ac:dyDescent="0.35">
      <c r="A423" t="s">
        <v>1281</v>
      </c>
      <c r="B423" t="s">
        <v>487</v>
      </c>
    </row>
    <row r="424" spans="1:2" x14ac:dyDescent="0.35">
      <c r="A424" t="s">
        <v>1282</v>
      </c>
      <c r="B424" t="s">
        <v>1283</v>
      </c>
    </row>
    <row r="425" spans="1:2" x14ac:dyDescent="0.35">
      <c r="A425" t="s">
        <v>1284</v>
      </c>
      <c r="B425" t="s">
        <v>1285</v>
      </c>
    </row>
    <row r="426" spans="1:2" x14ac:dyDescent="0.35">
      <c r="A426" t="s">
        <v>1286</v>
      </c>
      <c r="B426" t="s">
        <v>1287</v>
      </c>
    </row>
    <row r="427" spans="1:2" x14ac:dyDescent="0.35">
      <c r="A427" t="s">
        <v>1288</v>
      </c>
      <c r="B427" t="s">
        <v>1289</v>
      </c>
    </row>
    <row r="428" spans="1:2" x14ac:dyDescent="0.35">
      <c r="A428" t="s">
        <v>1290</v>
      </c>
      <c r="B428" t="s">
        <v>1291</v>
      </c>
    </row>
    <row r="429" spans="1:2" x14ac:dyDescent="0.35">
      <c r="A429" t="s">
        <v>1292</v>
      </c>
      <c r="B429" t="s">
        <v>1293</v>
      </c>
    </row>
    <row r="430" spans="1:2" x14ac:dyDescent="0.35">
      <c r="A430" t="s">
        <v>1294</v>
      </c>
      <c r="B430" t="s">
        <v>1295</v>
      </c>
    </row>
    <row r="431" spans="1:2" x14ac:dyDescent="0.35">
      <c r="A431" t="s">
        <v>1296</v>
      </c>
      <c r="B431" t="s">
        <v>1297</v>
      </c>
    </row>
    <row r="432" spans="1:2" x14ac:dyDescent="0.35">
      <c r="A432" t="s">
        <v>1298</v>
      </c>
      <c r="B432" t="s">
        <v>489</v>
      </c>
    </row>
    <row r="433" spans="1:2" x14ac:dyDescent="0.35">
      <c r="A433" t="s">
        <v>1299</v>
      </c>
      <c r="B433" t="s">
        <v>1300</v>
      </c>
    </row>
    <row r="434" spans="1:2" x14ac:dyDescent="0.35">
      <c r="A434" t="s">
        <v>1301</v>
      </c>
      <c r="B434" t="s">
        <v>1302</v>
      </c>
    </row>
    <row r="435" spans="1:2" x14ac:dyDescent="0.35">
      <c r="A435" t="s">
        <v>1303</v>
      </c>
      <c r="B435" t="s">
        <v>1304</v>
      </c>
    </row>
    <row r="436" spans="1:2" x14ac:dyDescent="0.35">
      <c r="A436" t="s">
        <v>1305</v>
      </c>
      <c r="B436" t="s">
        <v>491</v>
      </c>
    </row>
    <row r="437" spans="1:2" x14ac:dyDescent="0.35">
      <c r="A437" t="s">
        <v>1306</v>
      </c>
      <c r="B437" t="s">
        <v>1307</v>
      </c>
    </row>
    <row r="438" spans="1:2" x14ac:dyDescent="0.35">
      <c r="A438" t="s">
        <v>1308</v>
      </c>
      <c r="B438" t="s">
        <v>1309</v>
      </c>
    </row>
    <row r="439" spans="1:2" x14ac:dyDescent="0.35">
      <c r="A439" t="s">
        <v>1310</v>
      </c>
      <c r="B439" t="s">
        <v>1311</v>
      </c>
    </row>
    <row r="440" spans="1:2" x14ac:dyDescent="0.35">
      <c r="A440" t="s">
        <v>1312</v>
      </c>
      <c r="B440" t="s">
        <v>1313</v>
      </c>
    </row>
    <row r="441" spans="1:2" x14ac:dyDescent="0.35">
      <c r="A441" t="s">
        <v>1314</v>
      </c>
      <c r="B441" t="s">
        <v>1315</v>
      </c>
    </row>
    <row r="442" spans="1:2" x14ac:dyDescent="0.35">
      <c r="A442" t="s">
        <v>1316</v>
      </c>
      <c r="B442" t="s">
        <v>1317</v>
      </c>
    </row>
    <row r="443" spans="1:2" x14ac:dyDescent="0.35">
      <c r="A443" t="s">
        <v>1318</v>
      </c>
      <c r="B443" t="s">
        <v>1319</v>
      </c>
    </row>
    <row r="444" spans="1:2" x14ac:dyDescent="0.35">
      <c r="A444" t="s">
        <v>1320</v>
      </c>
      <c r="B444" t="s">
        <v>1321</v>
      </c>
    </row>
    <row r="445" spans="1:2" x14ac:dyDescent="0.35">
      <c r="A445" t="s">
        <v>1322</v>
      </c>
      <c r="B445" t="s">
        <v>493</v>
      </c>
    </row>
    <row r="446" spans="1:2" x14ac:dyDescent="0.35">
      <c r="A446" t="s">
        <v>1323</v>
      </c>
      <c r="B446" t="s">
        <v>1324</v>
      </c>
    </row>
    <row r="447" spans="1:2" x14ac:dyDescent="0.35">
      <c r="A447" t="s">
        <v>1325</v>
      </c>
      <c r="B447" t="s">
        <v>1326</v>
      </c>
    </row>
    <row r="448" spans="1:2" x14ac:dyDescent="0.35">
      <c r="A448" t="s">
        <v>1327</v>
      </c>
      <c r="B448" t="s">
        <v>1328</v>
      </c>
    </row>
    <row r="449" spans="1:2" x14ac:dyDescent="0.35">
      <c r="A449" t="s">
        <v>1329</v>
      </c>
      <c r="B449" t="s">
        <v>1330</v>
      </c>
    </row>
    <row r="450" spans="1:2" x14ac:dyDescent="0.35">
      <c r="A450" t="s">
        <v>1331</v>
      </c>
      <c r="B450" t="s">
        <v>495</v>
      </c>
    </row>
    <row r="451" spans="1:2" x14ac:dyDescent="0.35">
      <c r="A451" t="s">
        <v>1332</v>
      </c>
      <c r="B451" t="s">
        <v>1333</v>
      </c>
    </row>
    <row r="452" spans="1:2" x14ac:dyDescent="0.35">
      <c r="A452" t="s">
        <v>1334</v>
      </c>
      <c r="B452" t="s">
        <v>1335</v>
      </c>
    </row>
    <row r="453" spans="1:2" x14ac:dyDescent="0.35">
      <c r="A453" t="s">
        <v>1336</v>
      </c>
      <c r="B453" t="s">
        <v>1337</v>
      </c>
    </row>
    <row r="454" spans="1:2" x14ac:dyDescent="0.35">
      <c r="A454" t="s">
        <v>1338</v>
      </c>
      <c r="B454" t="s">
        <v>1339</v>
      </c>
    </row>
    <row r="455" spans="1:2" x14ac:dyDescent="0.35">
      <c r="A455" t="s">
        <v>1340</v>
      </c>
      <c r="B455" t="s">
        <v>497</v>
      </c>
    </row>
    <row r="456" spans="1:2" x14ac:dyDescent="0.35">
      <c r="A456" t="s">
        <v>1341</v>
      </c>
      <c r="B456" t="s">
        <v>1342</v>
      </c>
    </row>
    <row r="457" spans="1:2" x14ac:dyDescent="0.35">
      <c r="A457" t="s">
        <v>1343</v>
      </c>
      <c r="B457" t="s">
        <v>1344</v>
      </c>
    </row>
    <row r="458" spans="1:2" x14ac:dyDescent="0.35">
      <c r="A458" t="s">
        <v>1345</v>
      </c>
      <c r="B458" t="s">
        <v>499</v>
      </c>
    </row>
    <row r="459" spans="1:2" x14ac:dyDescent="0.35">
      <c r="A459" t="s">
        <v>1346</v>
      </c>
      <c r="B459" t="s">
        <v>1347</v>
      </c>
    </row>
    <row r="460" spans="1:2" x14ac:dyDescent="0.35">
      <c r="A460" t="s">
        <v>1348</v>
      </c>
      <c r="B460" t="s">
        <v>1349</v>
      </c>
    </row>
    <row r="461" spans="1:2" x14ac:dyDescent="0.35">
      <c r="A461" t="s">
        <v>1350</v>
      </c>
      <c r="B461" t="s">
        <v>1351</v>
      </c>
    </row>
    <row r="462" spans="1:2" x14ac:dyDescent="0.35">
      <c r="A462" t="s">
        <v>1352</v>
      </c>
      <c r="B462" t="s">
        <v>1353</v>
      </c>
    </row>
    <row r="463" spans="1:2" x14ac:dyDescent="0.35">
      <c r="A463" t="s">
        <v>1354</v>
      </c>
      <c r="B463" t="s">
        <v>1355</v>
      </c>
    </row>
    <row r="464" spans="1:2" x14ac:dyDescent="0.35">
      <c r="A464" t="s">
        <v>1356</v>
      </c>
      <c r="B464" t="s">
        <v>501</v>
      </c>
    </row>
    <row r="465" spans="1:2" x14ac:dyDescent="0.35">
      <c r="A465" t="s">
        <v>1357</v>
      </c>
      <c r="B465" t="s">
        <v>1358</v>
      </c>
    </row>
    <row r="466" spans="1:2" x14ac:dyDescent="0.35">
      <c r="A466" t="s">
        <v>1359</v>
      </c>
      <c r="B466" t="s">
        <v>1360</v>
      </c>
    </row>
    <row r="467" spans="1:2" x14ac:dyDescent="0.35">
      <c r="A467" t="s">
        <v>1361</v>
      </c>
      <c r="B467" t="s">
        <v>1362</v>
      </c>
    </row>
    <row r="468" spans="1:2" x14ac:dyDescent="0.35">
      <c r="A468" t="s">
        <v>1363</v>
      </c>
      <c r="B468" t="s">
        <v>503</v>
      </c>
    </row>
    <row r="469" spans="1:2" x14ac:dyDescent="0.35">
      <c r="A469" t="s">
        <v>1364</v>
      </c>
      <c r="B469" t="s">
        <v>1365</v>
      </c>
    </row>
    <row r="470" spans="1:2" x14ac:dyDescent="0.35">
      <c r="A470" t="s">
        <v>1366</v>
      </c>
      <c r="B470" t="s">
        <v>1367</v>
      </c>
    </row>
    <row r="471" spans="1:2" x14ac:dyDescent="0.35">
      <c r="A471" t="s">
        <v>1368</v>
      </c>
      <c r="B471" t="s">
        <v>1369</v>
      </c>
    </row>
    <row r="472" spans="1:2" x14ac:dyDescent="0.35">
      <c r="A472" t="s">
        <v>1370</v>
      </c>
      <c r="B472" t="s">
        <v>1371</v>
      </c>
    </row>
    <row r="473" spans="1:2" x14ac:dyDescent="0.35">
      <c r="A473" t="s">
        <v>1372</v>
      </c>
      <c r="B473" t="s">
        <v>505</v>
      </c>
    </row>
    <row r="474" spans="1:2" x14ac:dyDescent="0.35">
      <c r="A474" t="s">
        <v>1373</v>
      </c>
      <c r="B474" t="s">
        <v>507</v>
      </c>
    </row>
    <row r="475" spans="1:2" x14ac:dyDescent="0.35">
      <c r="A475" t="s">
        <v>1374</v>
      </c>
      <c r="B475" t="s">
        <v>1375</v>
      </c>
    </row>
    <row r="476" spans="1:2" x14ac:dyDescent="0.35">
      <c r="A476" t="s">
        <v>1376</v>
      </c>
      <c r="B476" t="s">
        <v>1377</v>
      </c>
    </row>
    <row r="477" spans="1:2" x14ac:dyDescent="0.35">
      <c r="A477" t="s">
        <v>1378</v>
      </c>
      <c r="B477" t="s">
        <v>1379</v>
      </c>
    </row>
    <row r="478" spans="1:2" x14ac:dyDescent="0.35">
      <c r="A478" t="s">
        <v>1380</v>
      </c>
      <c r="B478" t="s">
        <v>1381</v>
      </c>
    </row>
    <row r="479" spans="1:2" x14ac:dyDescent="0.35">
      <c r="A479" t="s">
        <v>1382</v>
      </c>
      <c r="B479" t="s">
        <v>509</v>
      </c>
    </row>
    <row r="480" spans="1:2" x14ac:dyDescent="0.35">
      <c r="A480" t="s">
        <v>1383</v>
      </c>
      <c r="B480" t="s">
        <v>1384</v>
      </c>
    </row>
    <row r="481" spans="1:2" x14ac:dyDescent="0.35">
      <c r="A481" t="s">
        <v>1385</v>
      </c>
      <c r="B481" t="s">
        <v>1386</v>
      </c>
    </row>
    <row r="482" spans="1:2" x14ac:dyDescent="0.35">
      <c r="A482" t="s">
        <v>1387</v>
      </c>
      <c r="B482" t="s">
        <v>1388</v>
      </c>
    </row>
    <row r="483" spans="1:2" x14ac:dyDescent="0.35">
      <c r="A483" t="s">
        <v>1389</v>
      </c>
      <c r="B483" t="s">
        <v>1390</v>
      </c>
    </row>
    <row r="484" spans="1:2" x14ac:dyDescent="0.35">
      <c r="A484" t="s">
        <v>1391</v>
      </c>
      <c r="B484" t="s">
        <v>1392</v>
      </c>
    </row>
    <row r="485" spans="1:2" x14ac:dyDescent="0.35">
      <c r="A485" t="s">
        <v>1393</v>
      </c>
      <c r="B485" t="s">
        <v>1394</v>
      </c>
    </row>
    <row r="486" spans="1:2" x14ac:dyDescent="0.35">
      <c r="A486" t="s">
        <v>1395</v>
      </c>
      <c r="B486" t="s">
        <v>1396</v>
      </c>
    </row>
    <row r="487" spans="1:2" x14ac:dyDescent="0.35">
      <c r="A487" t="s">
        <v>1397</v>
      </c>
      <c r="B487" t="s">
        <v>1398</v>
      </c>
    </row>
    <row r="488" spans="1:2" x14ac:dyDescent="0.35">
      <c r="A488" t="s">
        <v>1399</v>
      </c>
      <c r="B488" t="s">
        <v>1400</v>
      </c>
    </row>
    <row r="489" spans="1:2" x14ac:dyDescent="0.35">
      <c r="A489" t="s">
        <v>1401</v>
      </c>
      <c r="B489" t="s">
        <v>1402</v>
      </c>
    </row>
    <row r="490" spans="1:2" x14ac:dyDescent="0.35">
      <c r="A490" t="s">
        <v>1403</v>
      </c>
      <c r="B490" t="s">
        <v>511</v>
      </c>
    </row>
    <row r="491" spans="1:2" x14ac:dyDescent="0.35">
      <c r="A491" t="s">
        <v>1404</v>
      </c>
      <c r="B491" t="s">
        <v>1405</v>
      </c>
    </row>
    <row r="492" spans="1:2" x14ac:dyDescent="0.35">
      <c r="A492" t="s">
        <v>1406</v>
      </c>
      <c r="B492" t="s">
        <v>1407</v>
      </c>
    </row>
    <row r="493" spans="1:2" x14ac:dyDescent="0.35">
      <c r="A493" t="s">
        <v>1408</v>
      </c>
      <c r="B493" t="s">
        <v>1409</v>
      </c>
    </row>
    <row r="494" spans="1:2" x14ac:dyDescent="0.35">
      <c r="A494" t="s">
        <v>1410</v>
      </c>
      <c r="B494" t="s">
        <v>1411</v>
      </c>
    </row>
    <row r="495" spans="1:2" x14ac:dyDescent="0.35">
      <c r="A495" t="s">
        <v>1412</v>
      </c>
      <c r="B495" t="s">
        <v>513</v>
      </c>
    </row>
    <row r="496" spans="1:2" x14ac:dyDescent="0.35">
      <c r="A496" t="s">
        <v>1413</v>
      </c>
      <c r="B496" t="s">
        <v>1414</v>
      </c>
    </row>
    <row r="497" spans="1:2" x14ac:dyDescent="0.35">
      <c r="A497" t="s">
        <v>1415</v>
      </c>
      <c r="B497" t="s">
        <v>1416</v>
      </c>
    </row>
    <row r="498" spans="1:2" x14ac:dyDescent="0.35">
      <c r="A498" t="s">
        <v>1417</v>
      </c>
      <c r="B498" t="s">
        <v>1418</v>
      </c>
    </row>
    <row r="499" spans="1:2" x14ac:dyDescent="0.35">
      <c r="A499" t="s">
        <v>1419</v>
      </c>
      <c r="B499" t="s">
        <v>1420</v>
      </c>
    </row>
    <row r="500" spans="1:2" x14ac:dyDescent="0.35">
      <c r="A500" t="s">
        <v>1421</v>
      </c>
      <c r="B500" t="s">
        <v>515</v>
      </c>
    </row>
    <row r="501" spans="1:2" x14ac:dyDescent="0.35">
      <c r="A501" t="s">
        <v>1422</v>
      </c>
      <c r="B501" t="s">
        <v>1423</v>
      </c>
    </row>
    <row r="502" spans="1:2" x14ac:dyDescent="0.35">
      <c r="A502" t="s">
        <v>1424</v>
      </c>
      <c r="B502" t="s">
        <v>1425</v>
      </c>
    </row>
    <row r="503" spans="1:2" x14ac:dyDescent="0.35">
      <c r="A503" t="s">
        <v>1426</v>
      </c>
      <c r="B503" t="s">
        <v>1427</v>
      </c>
    </row>
    <row r="504" spans="1:2" x14ac:dyDescent="0.35">
      <c r="A504" t="s">
        <v>1428</v>
      </c>
      <c r="B504" t="s">
        <v>517</v>
      </c>
    </row>
    <row r="505" spans="1:2" x14ac:dyDescent="0.35">
      <c r="A505" t="s">
        <v>1429</v>
      </c>
      <c r="B505" t="s">
        <v>1430</v>
      </c>
    </row>
    <row r="506" spans="1:2" x14ac:dyDescent="0.35">
      <c r="A506" t="s">
        <v>1431</v>
      </c>
      <c r="B506" t="s">
        <v>519</v>
      </c>
    </row>
    <row r="507" spans="1:2" x14ac:dyDescent="0.35">
      <c r="A507" t="s">
        <v>1432</v>
      </c>
      <c r="B507" t="s">
        <v>1433</v>
      </c>
    </row>
    <row r="508" spans="1:2" x14ac:dyDescent="0.35">
      <c r="A508" t="s">
        <v>1434</v>
      </c>
      <c r="B508" t="s">
        <v>1435</v>
      </c>
    </row>
    <row r="509" spans="1:2" x14ac:dyDescent="0.35">
      <c r="A509" t="s">
        <v>1436</v>
      </c>
      <c r="B509" t="s">
        <v>1437</v>
      </c>
    </row>
    <row r="510" spans="1:2" x14ac:dyDescent="0.35">
      <c r="A510" t="s">
        <v>1438</v>
      </c>
      <c r="B510" t="s">
        <v>1439</v>
      </c>
    </row>
    <row r="511" spans="1:2" x14ac:dyDescent="0.35">
      <c r="A511" t="s">
        <v>1440</v>
      </c>
      <c r="B511" t="s">
        <v>1441</v>
      </c>
    </row>
    <row r="512" spans="1:2" x14ac:dyDescent="0.35">
      <c r="A512" t="s">
        <v>1442</v>
      </c>
      <c r="B512" t="s">
        <v>521</v>
      </c>
    </row>
    <row r="513" spans="1:2" x14ac:dyDescent="0.35">
      <c r="A513" t="s">
        <v>1443</v>
      </c>
      <c r="B513" t="s">
        <v>1444</v>
      </c>
    </row>
    <row r="514" spans="1:2" x14ac:dyDescent="0.35">
      <c r="A514" t="s">
        <v>1445</v>
      </c>
      <c r="B514" t="s">
        <v>1446</v>
      </c>
    </row>
    <row r="515" spans="1:2" x14ac:dyDescent="0.35">
      <c r="A515" t="s">
        <v>1447</v>
      </c>
      <c r="B515" t="s">
        <v>523</v>
      </c>
    </row>
    <row r="516" spans="1:2" x14ac:dyDescent="0.35">
      <c r="A516" t="s">
        <v>1448</v>
      </c>
      <c r="B516" t="s">
        <v>1449</v>
      </c>
    </row>
    <row r="517" spans="1:2" x14ac:dyDescent="0.35">
      <c r="A517" t="s">
        <v>1450</v>
      </c>
      <c r="B517" t="s">
        <v>1451</v>
      </c>
    </row>
    <row r="518" spans="1:2" x14ac:dyDescent="0.35">
      <c r="A518" t="s">
        <v>1452</v>
      </c>
      <c r="B518" t="s">
        <v>1453</v>
      </c>
    </row>
    <row r="519" spans="1:2" x14ac:dyDescent="0.35">
      <c r="A519" t="s">
        <v>1454</v>
      </c>
      <c r="B519" t="s">
        <v>525</v>
      </c>
    </row>
    <row r="520" spans="1:2" x14ac:dyDescent="0.35">
      <c r="A520" t="s">
        <v>1455</v>
      </c>
      <c r="B520" t="s">
        <v>1456</v>
      </c>
    </row>
    <row r="522" spans="1:2" x14ac:dyDescent="0.35">
      <c r="B522" t="s">
        <v>303</v>
      </c>
    </row>
  </sheetData>
  <conditionalFormatting sqref="A1:A1048576">
    <cfRule type="duplicateValues" dxfId="2"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49294-A16A-48FF-9806-7CFA2C9A9835}">
  <dimension ref="A1:N20"/>
  <sheetViews>
    <sheetView topLeftCell="A16" workbookViewId="0">
      <selection activeCell="C20" sqref="C20"/>
    </sheetView>
  </sheetViews>
  <sheetFormatPr baseColWidth="10" defaultRowHeight="14.5" x14ac:dyDescent="0.35"/>
  <cols>
    <col min="1" max="1" width="97.6328125" customWidth="1"/>
    <col min="2" max="2" width="87.7265625" customWidth="1"/>
    <col min="3" max="3" width="83.1796875" customWidth="1"/>
    <col min="7" max="7" width="22.81640625" bestFit="1" customWidth="1"/>
    <col min="12" max="12" width="22.81640625" bestFit="1" customWidth="1"/>
  </cols>
  <sheetData>
    <row r="1" spans="1:14" x14ac:dyDescent="0.35">
      <c r="C1" t="s">
        <v>69</v>
      </c>
      <c r="D1" s="3">
        <v>1</v>
      </c>
      <c r="E1" s="2">
        <v>45704</v>
      </c>
      <c r="F1" s="2">
        <v>45711</v>
      </c>
      <c r="L1" t="s">
        <v>2</v>
      </c>
      <c r="M1" t="s">
        <v>139</v>
      </c>
      <c r="N1" t="s">
        <v>140</v>
      </c>
    </row>
    <row r="2" spans="1:14" x14ac:dyDescent="0.35">
      <c r="C2" t="s">
        <v>73</v>
      </c>
      <c r="D2" s="3">
        <v>2</v>
      </c>
      <c r="E2" s="2">
        <v>45732</v>
      </c>
      <c r="F2" s="2">
        <v>45739</v>
      </c>
      <c r="L2" t="s">
        <v>63</v>
      </c>
      <c r="M2" s="2">
        <f>VLOOKUP(L2,$C$1:$F$13,3,FALSE)</f>
        <v>45662</v>
      </c>
      <c r="N2" s="2">
        <f>VLOOKUP(L2,$C$1:$F$13,4,FALSE)</f>
        <v>45669</v>
      </c>
    </row>
    <row r="3" spans="1:14" x14ac:dyDescent="0.35">
      <c r="C3" t="s">
        <v>65</v>
      </c>
      <c r="D3" s="3">
        <v>3</v>
      </c>
      <c r="E3" s="2">
        <v>45676</v>
      </c>
      <c r="F3" s="2">
        <v>45683</v>
      </c>
      <c r="L3" t="s">
        <v>64</v>
      </c>
      <c r="M3" s="2">
        <f t="shared" ref="M3:M14" si="0">VLOOKUP(L3,$C$1:$F$13,3,FALSE)</f>
        <v>45662</v>
      </c>
      <c r="N3" s="2">
        <f t="shared" ref="N3:N14" si="1">VLOOKUP(L3,$C$1:$F$13,4,FALSE)</f>
        <v>45669</v>
      </c>
    </row>
    <row r="4" spans="1:14" x14ac:dyDescent="0.35">
      <c r="C4" t="s">
        <v>70</v>
      </c>
      <c r="D4" s="3">
        <v>4</v>
      </c>
      <c r="E4" s="2">
        <v>45704</v>
      </c>
      <c r="F4" s="2">
        <v>45711</v>
      </c>
      <c r="L4" t="s">
        <v>65</v>
      </c>
      <c r="M4" s="2">
        <f t="shared" si="0"/>
        <v>45676</v>
      </c>
      <c r="N4" s="2">
        <f t="shared" si="1"/>
        <v>45683</v>
      </c>
    </row>
    <row r="5" spans="1:14" x14ac:dyDescent="0.35">
      <c r="C5" t="s">
        <v>74</v>
      </c>
      <c r="D5" s="3">
        <v>5</v>
      </c>
      <c r="E5" s="2">
        <v>45732</v>
      </c>
      <c r="F5" s="2">
        <v>45739</v>
      </c>
      <c r="L5" t="s">
        <v>66</v>
      </c>
      <c r="M5" s="2">
        <f t="shared" si="0"/>
        <v>45676</v>
      </c>
      <c r="N5" s="2">
        <f t="shared" si="1"/>
        <v>45683</v>
      </c>
    </row>
    <row r="6" spans="1:14" x14ac:dyDescent="0.35">
      <c r="C6" t="s">
        <v>66</v>
      </c>
      <c r="D6" s="3">
        <v>6</v>
      </c>
      <c r="E6" s="2">
        <v>45676</v>
      </c>
      <c r="F6" s="2">
        <v>45683</v>
      </c>
      <c r="L6" t="s">
        <v>67</v>
      </c>
      <c r="M6" s="2">
        <f t="shared" si="0"/>
        <v>45690</v>
      </c>
      <c r="N6" s="2">
        <f t="shared" si="1"/>
        <v>45697</v>
      </c>
    </row>
    <row r="7" spans="1:14" x14ac:dyDescent="0.35">
      <c r="C7" t="s">
        <v>71</v>
      </c>
      <c r="D7" s="3">
        <v>7</v>
      </c>
      <c r="E7" s="2">
        <v>45718</v>
      </c>
      <c r="F7" s="2">
        <v>45725</v>
      </c>
      <c r="L7" t="s">
        <v>68</v>
      </c>
      <c r="M7" s="2">
        <f t="shared" si="0"/>
        <v>45690</v>
      </c>
      <c r="N7" s="2">
        <f t="shared" si="1"/>
        <v>45697</v>
      </c>
    </row>
    <row r="8" spans="1:14" x14ac:dyDescent="0.35">
      <c r="C8" t="s">
        <v>75</v>
      </c>
      <c r="D8" s="3">
        <v>8</v>
      </c>
      <c r="E8" s="2">
        <v>45746</v>
      </c>
      <c r="F8" s="2">
        <v>45746</v>
      </c>
      <c r="L8" t="s">
        <v>69</v>
      </c>
      <c r="M8" s="2">
        <f t="shared" si="0"/>
        <v>45704</v>
      </c>
      <c r="N8" s="2">
        <f t="shared" si="1"/>
        <v>45711</v>
      </c>
    </row>
    <row r="9" spans="1:14" x14ac:dyDescent="0.35">
      <c r="C9" t="s">
        <v>67</v>
      </c>
      <c r="D9" s="3">
        <v>9</v>
      </c>
      <c r="E9" s="2">
        <v>45690</v>
      </c>
      <c r="F9" s="2">
        <v>45697</v>
      </c>
      <c r="L9" t="s">
        <v>70</v>
      </c>
      <c r="M9" s="2">
        <f t="shared" si="0"/>
        <v>45704</v>
      </c>
      <c r="N9" s="2">
        <f t="shared" si="1"/>
        <v>45711</v>
      </c>
    </row>
    <row r="10" spans="1:14" x14ac:dyDescent="0.35">
      <c r="C10" t="s">
        <v>68</v>
      </c>
      <c r="D10" s="3">
        <v>10</v>
      </c>
      <c r="E10" s="2">
        <v>45690</v>
      </c>
      <c r="F10" s="2">
        <v>45697</v>
      </c>
      <c r="L10" t="s">
        <v>71</v>
      </c>
      <c r="M10" s="2">
        <f t="shared" si="0"/>
        <v>45718</v>
      </c>
      <c r="N10" s="2">
        <f t="shared" si="1"/>
        <v>45725</v>
      </c>
    </row>
    <row r="11" spans="1:14" x14ac:dyDescent="0.35">
      <c r="C11" t="s">
        <v>72</v>
      </c>
      <c r="D11" s="3">
        <v>11</v>
      </c>
      <c r="E11" s="2">
        <v>45718</v>
      </c>
      <c r="F11" s="2">
        <v>45725</v>
      </c>
      <c r="L11" t="s">
        <v>72</v>
      </c>
      <c r="M11" s="2">
        <f t="shared" si="0"/>
        <v>45718</v>
      </c>
      <c r="N11" s="2">
        <f t="shared" si="1"/>
        <v>45725</v>
      </c>
    </row>
    <row r="12" spans="1:14" x14ac:dyDescent="0.35">
      <c r="C12" t="s">
        <v>63</v>
      </c>
      <c r="D12" s="3">
        <v>12</v>
      </c>
      <c r="E12" s="2">
        <v>45662</v>
      </c>
      <c r="F12" s="2">
        <v>45669</v>
      </c>
      <c r="L12" t="s">
        <v>73</v>
      </c>
      <c r="M12" s="2">
        <f t="shared" si="0"/>
        <v>45732</v>
      </c>
      <c r="N12" s="2">
        <f t="shared" si="1"/>
        <v>45739</v>
      </c>
    </row>
    <row r="13" spans="1:14" x14ac:dyDescent="0.35">
      <c r="C13" t="s">
        <v>64</v>
      </c>
      <c r="D13" s="3">
        <v>13</v>
      </c>
      <c r="E13" s="2">
        <v>45662</v>
      </c>
      <c r="F13" s="2">
        <v>45669</v>
      </c>
      <c r="L13" t="s">
        <v>74</v>
      </c>
      <c r="M13" s="2">
        <f t="shared" si="0"/>
        <v>45732</v>
      </c>
      <c r="N13" s="2">
        <f t="shared" si="1"/>
        <v>45739</v>
      </c>
    </row>
    <row r="14" spans="1:14" x14ac:dyDescent="0.35">
      <c r="A14" t="s">
        <v>272</v>
      </c>
      <c r="L14" t="s">
        <v>75</v>
      </c>
      <c r="M14" s="2">
        <f t="shared" si="0"/>
        <v>45746</v>
      </c>
      <c r="N14" s="2">
        <f t="shared" si="1"/>
        <v>45746</v>
      </c>
    </row>
    <row r="15" spans="1:14" ht="43.5" x14ac:dyDescent="0.35">
      <c r="A15" s="7" t="s">
        <v>1462</v>
      </c>
    </row>
    <row r="19" spans="1:3" x14ac:dyDescent="0.35">
      <c r="A19" s="1" t="s">
        <v>235</v>
      </c>
      <c r="B19" t="s">
        <v>1460</v>
      </c>
      <c r="C19" t="s">
        <v>1473</v>
      </c>
    </row>
    <row r="20" spans="1:3" ht="409.5" x14ac:dyDescent="0.35">
      <c r="A20" s="7" t="s">
        <v>236</v>
      </c>
      <c r="B20" s="7" t="s">
        <v>1459</v>
      </c>
      <c r="C20" s="7" t="s">
        <v>1472</v>
      </c>
    </row>
  </sheetData>
  <conditionalFormatting sqref="A14:A25 E1:E13">
    <cfRule type="duplicateValues" dxfId="4" priority="1"/>
  </conditionalFormatting>
  <conditionalFormatting sqref="E2">
    <cfRule type="duplicateValues" dxfId="3" priority="2"/>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D5E66B24634DC459FCA3903F619E727" ma:contentTypeVersion="0" ma:contentTypeDescription="Crée un document." ma:contentTypeScope="" ma:versionID="5457df357c0e295c2face05662cb6fb2">
  <xsd:schema xmlns:xsd="http://www.w3.org/2001/XMLSchema" xmlns:xs="http://www.w3.org/2001/XMLSchema" xmlns:p="http://schemas.microsoft.com/office/2006/metadata/properties" targetNamespace="http://schemas.microsoft.com/office/2006/metadata/properties" ma:root="true" ma:fieldsID="e4ec34346769ff539971eae25929d143">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3B2A66B-D303-4FD6-82F5-7D3BC792EA1E}"/>
</file>

<file path=customXml/itemProps2.xml><?xml version="1.0" encoding="utf-8"?>
<ds:datastoreItem xmlns:ds="http://schemas.openxmlformats.org/officeDocument/2006/customXml" ds:itemID="{EA0CA593-324F-4969-A7D5-93AF06799628}"/>
</file>

<file path=customXml/itemProps3.xml><?xml version="1.0" encoding="utf-8"?>
<ds:datastoreItem xmlns:ds="http://schemas.openxmlformats.org/officeDocument/2006/customXml" ds:itemID="{BCE1CA60-AE42-447B-98CB-E98EE2451DE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Semaine_ref_trim</vt:lpstr>
      <vt:lpstr>Automate_envoie</vt:lpstr>
      <vt:lpstr>label_district</vt:lpstr>
      <vt:lpstr>label_region</vt:lpstr>
      <vt:lpstr>label_departement</vt:lpstr>
      <vt:lpstr>label_sp</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Kouassi Guy Martial Kouame</dc:creator>
  <cp:lastModifiedBy>Kouassi Guy Martial Kouame</cp:lastModifiedBy>
  <dcterms:created xsi:type="dcterms:W3CDTF">2025-12-23T23:13:48Z</dcterms:created>
  <dcterms:modified xsi:type="dcterms:W3CDTF">2026-01-02T11:49:41Z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0x0101007D5E66B24634DC459FCA3903F619E727</vt:lpwstr>
  </property>
</Properties>
</file>